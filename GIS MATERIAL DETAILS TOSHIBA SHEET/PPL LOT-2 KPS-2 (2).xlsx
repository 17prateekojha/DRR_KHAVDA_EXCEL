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95"/>
  </bookViews>
  <sheets>
    <sheet name="LOT-2 PPL" sheetId="1" r:id="rId1"/>
  </sheets>
  <definedNames>
    <definedName name="_xlnm._FilterDatabase" localSheetId="0" hidden="1">'LOT-2 PPL'!$A$2:$Q$194</definedName>
    <definedName name="_xlnm.Print_Area" localSheetId="0">'LOT-2 PPL'!$A$1:$P$197</definedName>
  </definedNames>
  <calcPr calcId="162913"/>
</workbook>
</file>

<file path=xl/calcChain.xml><?xml version="1.0" encoding="utf-8"?>
<calcChain xmlns="http://schemas.openxmlformats.org/spreadsheetml/2006/main">
  <c r="K112" i="1" l="1"/>
  <c r="K173" i="1" l="1"/>
  <c r="K172" i="1"/>
  <c r="K171" i="1"/>
  <c r="K170" i="1"/>
  <c r="K169" i="1"/>
  <c r="K168" i="1"/>
  <c r="K164" i="1"/>
  <c r="K165" i="1"/>
  <c r="K166" i="1"/>
  <c r="K167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63" i="1"/>
  <c r="K162" i="1"/>
  <c r="K62" i="1" l="1"/>
  <c r="K61" i="1"/>
  <c r="K60" i="1"/>
  <c r="K159" i="1" l="1"/>
  <c r="B212" i="1" l="1"/>
  <c r="B211" i="1"/>
</calcChain>
</file>

<file path=xl/sharedStrings.xml><?xml version="1.0" encoding="utf-8"?>
<sst xmlns="http://schemas.openxmlformats.org/spreadsheetml/2006/main" count="1462" uniqueCount="581">
  <si>
    <t>Sl.No.</t>
  </si>
  <si>
    <t xml:space="preserve">Qty per Box </t>
  </si>
  <si>
    <t>PACKGE STYLE</t>
  </si>
  <si>
    <t>DIMENSION (CM)</t>
    <phoneticPr fontId="0"/>
  </si>
  <si>
    <t>NET WEIGHT(kg)</t>
  </si>
  <si>
    <t>GROSS WEIGHT(kg)</t>
  </si>
  <si>
    <t>L</t>
    <phoneticPr fontId="0"/>
  </si>
  <si>
    <t>W</t>
    <phoneticPr fontId="0"/>
  </si>
  <si>
    <t>H</t>
    <phoneticPr fontId="0"/>
  </si>
  <si>
    <t>W/CASE</t>
  </si>
  <si>
    <t>Vehicle No</t>
  </si>
  <si>
    <t>Date</t>
  </si>
  <si>
    <t>Veh. Type</t>
  </si>
  <si>
    <t>Shipping Mark</t>
  </si>
  <si>
    <t>TENTATIVE PACKING LIST FOR  400KV GIS BHEL-KPS-2 PROJECT</t>
  </si>
  <si>
    <t>FBT-1</t>
  </si>
  <si>
    <t>FBT-2</t>
  </si>
  <si>
    <t>FBT-3</t>
  </si>
  <si>
    <t>FBT-4</t>
  </si>
  <si>
    <t>FBT-5</t>
  </si>
  <si>
    <t>JCB</t>
  </si>
  <si>
    <t>420kV Gas Circuit Breaker   - [3-CB1-X]</t>
  </si>
  <si>
    <t>420kV Gas Circuit Breaker   - [3-CB1-Y]</t>
  </si>
  <si>
    <t>420kV Gas Circuit Breaker   - [3-CB1-Z]</t>
  </si>
  <si>
    <t>420kV GIS DSES Unit - [3-BDS2]</t>
  </si>
  <si>
    <t>420kV GIS DSES Unit - [3-ICDS6]</t>
  </si>
  <si>
    <t>420kV Gas Circuit Breaker   - [3-CB2-X]</t>
  </si>
  <si>
    <t>420kV Gas Circuit Breaker   - [3-CB2-Y]</t>
  </si>
  <si>
    <t>420kV Gas Circuit Breaker   - [3-CB2-Z]</t>
  </si>
  <si>
    <t>420kV GIS DSES Unit - [3-ICDS4]</t>
  </si>
  <si>
    <t>420kV GIS DSES Unit - [3-ICDS5]</t>
  </si>
  <si>
    <t>420kV Gas Circuit Breaker   - [3-CB3-X]</t>
  </si>
  <si>
    <t>420kV Gas Circuit Breaker   - [3-CB3-Y]</t>
  </si>
  <si>
    <t>420kV Gas Circuit Breaker   - [3-CB3-Z]</t>
  </si>
  <si>
    <t>420kV GIS DSES Unit - [3-BDS1]</t>
  </si>
  <si>
    <t>420kV GIS DSES Unit - [3-ICDS3]</t>
  </si>
  <si>
    <t>420kV GIS DSES Unit - [3-LDS7]</t>
  </si>
  <si>
    <t>420kV Gas Circuit Breaker   - [4-CB1-X]</t>
  </si>
  <si>
    <t>420kV Gas Circuit Breaker   - [4-CB1-Y]</t>
  </si>
  <si>
    <t>420kV Gas Circuit Breaker   - [4-CB1-Z]</t>
  </si>
  <si>
    <t>420kV GIS DSES Unit - [4-BDS2]</t>
  </si>
  <si>
    <t>420kV GIS DSES Unit - [4-ICDS6]</t>
  </si>
  <si>
    <t>420kV Gas Circuit Breaker   - [4-CB2-X]</t>
  </si>
  <si>
    <t>420kV Gas Circuit Breaker   - [4-CB2-Y]</t>
  </si>
  <si>
    <t>420kV Gas Circuit Breaker   - [4-CB2-Z]</t>
  </si>
  <si>
    <t>420kV GIS DSES Unit - [4-ICDS4]</t>
  </si>
  <si>
    <t>420kV GIS DSES Unit - [4-ICDS5]</t>
  </si>
  <si>
    <t>420kV Gas Circuit Breaker   - [4-CB3-X]</t>
  </si>
  <si>
    <t>420kV Gas Circuit Breaker   - [4-CB3-Y]</t>
  </si>
  <si>
    <t>420kV Gas Circuit Breaker   - [4-CB3-Z]</t>
  </si>
  <si>
    <t>420kV GIS DSES Unit - [4-BDS1]</t>
  </si>
  <si>
    <t>420kV GIS DSES Unit - [4-ICDS3]</t>
  </si>
  <si>
    <t>420kV GIS DSES Unit - [4-LDS7]</t>
  </si>
  <si>
    <t>420kV Gas Circuit Breaker   - [5-CB1-X]</t>
  </si>
  <si>
    <t>420kV Gas Circuit Breaker   - [5-CB1-Y]</t>
  </si>
  <si>
    <t>420kV Gas Circuit Breaker   - [5-CB1-Z]</t>
  </si>
  <si>
    <t>420kV GIS DSES Unit - [5-BDS2]</t>
  </si>
  <si>
    <t>420kV GIS DSES Unit - [5-ICDS6]</t>
  </si>
  <si>
    <t>420kV Gas Circuit Breaker   - [5-CB2-X]</t>
  </si>
  <si>
    <t>420kV Gas Circuit Breaker   - [5-CB2-Y]</t>
  </si>
  <si>
    <t>420kV Gas Circuit Breaker   - [5-CB2-Z]</t>
  </si>
  <si>
    <t>420kV GIS DSES Unit - [5-ICDS4]</t>
  </si>
  <si>
    <t>420kV GIS DSES Unit - [5-ICDS5]</t>
  </si>
  <si>
    <t>420kV Gas Circuit Breaker   - [5-CB3-X]</t>
  </si>
  <si>
    <t>420kV Gas Circuit Breaker   - [5-CB3-Y]</t>
  </si>
  <si>
    <t>420kV Gas Circuit Breaker   - [5-CB3-Z]</t>
  </si>
  <si>
    <t>420kV GIS DSES Unit - [5-BDS1]</t>
  </si>
  <si>
    <t>420kV GIS DSES Unit - [5-ICDS3]</t>
  </si>
  <si>
    <t>420kV GIS DSES Unit - [5-LDS7]</t>
  </si>
  <si>
    <t>420kV GIS DSES Unit - [5-VDS3]</t>
  </si>
  <si>
    <t>420kV GIS DSES Unit - [5-VDS4]</t>
  </si>
  <si>
    <t>DIA-03-03(LOWER)(125 MVAR B/R-1  -BAY-424)</t>
  </si>
  <si>
    <t>420kV GIS AUX DS Unit - [3-AUDS8]</t>
  </si>
  <si>
    <t>420kV GIS AUX DSES Unit - [3-AUDSES9]</t>
  </si>
  <si>
    <t>DIA-03-(ICBB UNIT) (BAY-422)</t>
  </si>
  <si>
    <t>420kV GIS AUX DS Unit - [4-AUDS8]</t>
  </si>
  <si>
    <t>420kV GIS AUX DSES Unit - [4-AUDSES9]</t>
  </si>
  <si>
    <t>DIA-04-(ICBB UNIT) (BAY-427)</t>
  </si>
  <si>
    <t>DIA-05-02(TIE)(TIE - BAY-431)</t>
  </si>
  <si>
    <t>DIA-05-03(LOWER)(125 MVAR B/R-2  -BAY-432)</t>
  </si>
  <si>
    <t>420kV GIS AUX DS Unit - [5-AUDS8]</t>
  </si>
  <si>
    <t>420kV GIS AUX DSES Unit - [5-AUDSES9]</t>
  </si>
  <si>
    <t>420kV GIS AUX ES Unit - [5-AUES10]</t>
  </si>
  <si>
    <t>DIA-05-(ICBB UNIT) (BAY-430)</t>
  </si>
  <si>
    <t>DIA-05 (METERING UNIT - 3)</t>
  </si>
  <si>
    <t>DIA-05 (METERING UNIT - 4)</t>
  </si>
  <si>
    <t>DIA-03-02(TIE)(TIE-8  - BAY-423)</t>
  </si>
  <si>
    <t>DIA-04-02(TIE)(TIE-9  - BAY-428)</t>
  </si>
  <si>
    <t>DIA-04-03(LOWER)(LINE-10  -BAY-429)</t>
  </si>
  <si>
    <t>DIA-03-01(UPPER)(765/400kV ICT-Bay-5  - BAY-422)</t>
  </si>
  <si>
    <t>DIA-04-01(UPPER)(765/400kV ICT-Bay-6  - BAY-427)</t>
  </si>
  <si>
    <t>DIA-05-01(UPPER)(765/400kV ICT-Bay-7 - BAY-430)</t>
  </si>
  <si>
    <t>DESCRIPTION</t>
  </si>
  <si>
    <t>JCB-1</t>
  </si>
  <si>
    <t>JCB-2</t>
  </si>
  <si>
    <t>JCB-3</t>
  </si>
  <si>
    <t>JCB-7</t>
  </si>
  <si>
    <t>JCB-8</t>
  </si>
  <si>
    <t>JCB-9</t>
  </si>
  <si>
    <t>JCB-12</t>
  </si>
  <si>
    <t>JCB-13</t>
  </si>
  <si>
    <t>JCB-14</t>
  </si>
  <si>
    <t>JCB-18</t>
  </si>
  <si>
    <t>JCB-4</t>
  </si>
  <si>
    <t>JCB-5</t>
  </si>
  <si>
    <t>JCB-6</t>
  </si>
  <si>
    <t>JCB-10</t>
  </si>
  <si>
    <t>JCB-11</t>
  </si>
  <si>
    <t>JCB-16</t>
  </si>
  <si>
    <t>JCB-17</t>
  </si>
  <si>
    <t>JCB-15</t>
  </si>
  <si>
    <t>TRAILER-1</t>
  </si>
  <si>
    <t>FBT</t>
  </si>
  <si>
    <t>420kV GIS DSES Unit - [1-VDS1]</t>
  </si>
  <si>
    <t>420kV GIS DSES Unit - [1-VDS2]</t>
  </si>
  <si>
    <t>DIA-01 (METERING UNIT - 2)</t>
  </si>
  <si>
    <t>DIA-01 (METERING UNIT - 1)</t>
  </si>
  <si>
    <t>GJ 12 AZ 7697</t>
  </si>
  <si>
    <t>32Ft JCB</t>
  </si>
  <si>
    <t>DIA-03-01(UPPER)(765/400kV ICT Busbar Unit &amp; CT-Bay-5  - BAY-422)</t>
  </si>
  <si>
    <t>DIA-04-01(UPPER)(765/400kV ICT Busbar Unit &amp; CT-Bay-6  - BAY-427)</t>
  </si>
  <si>
    <t>DIA-05-01(UPPER)(765/400kV ICT Busbar Unit &amp; CT-Bay-7 - BAY-430)</t>
  </si>
  <si>
    <t>420kV GIS  CT Busbar Unit &amp; CT  Unit - [3-CTB1- X,Y,Z]</t>
  </si>
  <si>
    <t>420kV GIS  CT Busbar Unit &amp; CT  Unit - [3-CTB2- X,Y,Z]</t>
  </si>
  <si>
    <t>420kV GIS  CT Busbar Unit &amp; CT  Unit - [3-CTB3- X,Y,Z]</t>
  </si>
  <si>
    <t>420kV GIS  CT Busbar Unit &amp; CT  Unit - [3-CTB4- X,Y,Z]</t>
  </si>
  <si>
    <t>420kV GIS  CT Busbar Unit &amp; CT  Unit - [3-CTB5- X,Y,Z]</t>
  </si>
  <si>
    <t>420kV GIS  CT Busbar Unit &amp; CT  Unit - [3-CTB6- X,Y,Z]</t>
  </si>
  <si>
    <t>420kV GIS  CT Busbar Unit &amp; CT  Unit - [4-CTB1- X,Y,Z]</t>
  </si>
  <si>
    <t>420kV GIS  CT Busbar Unit &amp; CT  Unit - [4-CTB2- X,Y,Z]</t>
  </si>
  <si>
    <t>420kV GIS  CT Busbar Unit &amp; CT  Unit - [4-CTB3- X,Y,Z]</t>
  </si>
  <si>
    <t>420kV GIS  CT Busbar Unit &amp; CT  Unit - [4-CTB4- X,Y,Z]</t>
  </si>
  <si>
    <t>420kV GIS  CT Busbar Unit &amp; CT  Unit - [4-CTB5- X,Y,Z]</t>
  </si>
  <si>
    <t>420kV GIS  CT Busbar Unit &amp; CT  Unit - [4-CTB6- X,Y,Z]</t>
  </si>
  <si>
    <t>420kV GIS  CT Busbar Unit &amp; CT  Unit - [5-CTB1- X,Y,Z]</t>
  </si>
  <si>
    <t>420kV GIS  CT Busbar Unit &amp; CT  Unit - [5-CTB2- X,Y,Z]</t>
  </si>
  <si>
    <t>420kV GIS  CT Busbar Unit &amp; CT  Unit - [5-CTB3- X,Y,Z]</t>
  </si>
  <si>
    <t>420kV GIS  CT Busbar Unit &amp; CT  Unit - [5-CTB4- X,Y,Z]</t>
  </si>
  <si>
    <t>420kV GIS  CT Busbar Unit &amp; CT  Unit - [5-CTB5- X,Y,Z]</t>
  </si>
  <si>
    <t>420kV GIS  CT Busbar Unit &amp; CT  Unit - [5-CTB6- X,Y,Z]</t>
  </si>
  <si>
    <t>JCB-19</t>
  </si>
  <si>
    <t>JCB-20</t>
  </si>
  <si>
    <t>JCB-21</t>
  </si>
  <si>
    <t>GJ 12 BX 3968</t>
  </si>
  <si>
    <t>420kV GIS Busbar Unit - 2-AUB1-X,Y,Z/3-AUB1-X,Y,Z</t>
  </si>
  <si>
    <t>420kV GIS Busbar Unit - 4-AUB1-X,Y,Z/5-AUB1-X,Y,Z</t>
  </si>
  <si>
    <t>420kV GIS Busbar Unit - 2-ICB1-X/3-ICB1-X</t>
  </si>
  <si>
    <t>420kV GIS Busbar Unit - 2-ICB1-Y/3-ICB1-Y</t>
  </si>
  <si>
    <t>420kV GIS Busbar Unit - 4-ICB1-Y/5-ICB1-Y</t>
  </si>
  <si>
    <t>420kV GIS Busbar Unit - 2-ICB1-Z/3-ICB1-Z</t>
  </si>
  <si>
    <t>420kV GIS Busbar Unit - 2-ICB3-X,Y,Z/3-ICB3-X,Y,Z</t>
  </si>
  <si>
    <t>420kV GIS Busbar Unit - 4-ICB3-X,Y,Z/5-ICB3-X,Y,Z</t>
  </si>
  <si>
    <t>420kV GIS Busbar Unit - 1-ICB2-X,Y,Z</t>
  </si>
  <si>
    <t>420kV GIS Busbar Unit - 1-ICB1-X,Y,Z</t>
  </si>
  <si>
    <t>420kV GIS Busbar Unit - 2-ICB2-X,Y,Z/3-ICB2-X,Y,Z</t>
  </si>
  <si>
    <t>420kV GIS Busbar Unit - 4-ICB2-X,Y,Z/5-ICB2-X,Y,Z</t>
  </si>
  <si>
    <t>420kV GIS Busbar Unit - 1-ICB3-Z</t>
  </si>
  <si>
    <t>420kV GIS Busbar Unit - 1-ICB3-Y</t>
  </si>
  <si>
    <t>420kV GIS Busbar Unit - 1-ICB3-X</t>
  </si>
  <si>
    <t>420kV GIS Busbar Unit - 1-ICB4-X,Y,Z</t>
  </si>
  <si>
    <t>420kV GIS Detachable busbar - 5-MB2-X/5-MB2-Z</t>
  </si>
  <si>
    <t>420kV GIS Detachable busbar - 2-MB1-X/2-MB2-X</t>
  </si>
  <si>
    <t>420kV GIS Detachable busbar - 1-MB1-X/1-MB2-X</t>
  </si>
  <si>
    <t>420kV GIS Detachable busbar - 1-MB3-X/1-MB3-Z</t>
  </si>
  <si>
    <t>420kV GIS Detachable busbar - 1-MB4-X/1-MB4-Z</t>
  </si>
  <si>
    <t>420kV GIS Detachable busbar - 4-MB4-Z/4-MB4-X</t>
  </si>
  <si>
    <t>420kV GIS Detachable busbar - 2-AUB-1/2-AUB-2/3-AUB-2</t>
  </si>
  <si>
    <t>420kV GIS Detachable busbar - 3-AUB-3/4-AUB1</t>
  </si>
  <si>
    <t>JCB-22</t>
  </si>
  <si>
    <t>JCB-23</t>
  </si>
  <si>
    <t>JCB-24</t>
  </si>
  <si>
    <t>JCB-25</t>
  </si>
  <si>
    <t>JCB-26</t>
  </si>
  <si>
    <t>FBT-9</t>
  </si>
  <si>
    <t>420kV GIS Detachable busbar - 3-AUB-1/5-AUB1</t>
  </si>
  <si>
    <t>FBT-7</t>
  </si>
  <si>
    <t>FBT-8</t>
  </si>
  <si>
    <t>FBT -1</t>
  </si>
  <si>
    <t>FBT -2</t>
  </si>
  <si>
    <t>FBT-12</t>
  </si>
  <si>
    <t>FBT-13</t>
  </si>
  <si>
    <t>FBT-10</t>
  </si>
  <si>
    <t>FBT-14</t>
  </si>
  <si>
    <t>FBT-15</t>
  </si>
  <si>
    <t>JCB-31</t>
  </si>
  <si>
    <t>JCB-32</t>
  </si>
  <si>
    <t>JCB-33</t>
  </si>
  <si>
    <t>JCB-34</t>
  </si>
  <si>
    <t>JCB-35</t>
  </si>
  <si>
    <t>JCB-37</t>
  </si>
  <si>
    <t xml:space="preserve"> TTDI-23  420KV GIS- BHEL-KPS-2 (Lot-2) - 96</t>
  </si>
  <si>
    <t xml:space="preserve"> TTDI-23  420KV GIS- BHEL-KPS-2 (Lot-2) - 97</t>
  </si>
  <si>
    <t xml:space="preserve"> TTDI-23  420KV GIS- BHEL-KPS-2 (Lot-2) - 98</t>
  </si>
  <si>
    <t xml:space="preserve"> TTDI-23  420KV GIS- BHEL-KPS-2 (Lot-2) - 99</t>
  </si>
  <si>
    <t xml:space="preserve"> TTDI-23  420KV GIS- BHEL-KPS-2 (Lot-2) - 100</t>
  </si>
  <si>
    <t xml:space="preserve"> TTDI-23  420KV GIS- BHEL-KPS-2 (Lot-2) - 101</t>
  </si>
  <si>
    <t xml:space="preserve"> TTDI-23  420KV GIS- BHEL-KPS-2 (Lot-2) - 102</t>
  </si>
  <si>
    <t xml:space="preserve"> TTDI-23  420KV GIS- BHEL-KPS-2 (Lot-2) - 103</t>
  </si>
  <si>
    <t xml:space="preserve"> TTDI-23  420KV GIS- BHEL-KPS-2 (Lot-2) - 104</t>
  </si>
  <si>
    <t xml:space="preserve"> TTDI-23  420KV GIS- BHEL-KPS-2 (Lot-2) - 105</t>
  </si>
  <si>
    <t xml:space="preserve"> TTDI-23  420KV GIS- BHEL-KPS-2 (Lot-2) - 106</t>
  </si>
  <si>
    <t xml:space="preserve"> TTDI-23  420KV GIS- BHEL-KPS-2 (Lot-2) - 107</t>
  </si>
  <si>
    <t xml:space="preserve"> TTDI-23  420KV GIS- BHEL-KPS-2 (Lot-2) - 108</t>
  </si>
  <si>
    <t xml:space="preserve"> TTDI-23  420KV GIS- BHEL-KPS-2 (Lot-2) - 109</t>
  </si>
  <si>
    <t xml:space="preserve"> TTDI-23  420KV GIS- BHEL-KPS-2 (Lot-2) - 110</t>
  </si>
  <si>
    <t xml:space="preserve"> TTDI-23  420KV GIS- BHEL-KPS-2 (Lot-2) - 111</t>
  </si>
  <si>
    <t xml:space="preserve"> TTDI-23  420KV GIS- BHEL-KPS-2 (Lot-2) - 112</t>
  </si>
  <si>
    <t xml:space="preserve"> TTDI-23  420KV GIS- BHEL-KPS-2 (Lot-2) - 113</t>
  </si>
  <si>
    <t xml:space="preserve"> TTDI-23  420KV GIS- BHEL-KPS-2 (Lot-2) - 114</t>
  </si>
  <si>
    <t xml:space="preserve"> TTDI-23  420KV GIS- BHEL-KPS-2 (Lot-2) - 115</t>
  </si>
  <si>
    <t xml:space="preserve"> TTDI-23  420KV GIS- BHEL-KPS-2 (Lot-2) - 116</t>
  </si>
  <si>
    <t xml:space="preserve"> TTDI-23  420KV GIS- BHEL-KPS-2 (Lot-2) - 117</t>
  </si>
  <si>
    <t xml:space="preserve"> TTDI-23  420KV GIS- BHEL-KPS-2 (Lot-2) - 118</t>
  </si>
  <si>
    <t xml:space="preserve"> TTDI-23  420KV GIS- BHEL-KPS-2 (Lot-2) - 119</t>
  </si>
  <si>
    <t xml:space="preserve"> TTDI-23  420KV GIS- BHEL-KPS-2 (Lot-2) - 120</t>
  </si>
  <si>
    <t xml:space="preserve"> TTDI-23  420KV GIS- BHEL-KPS-2 (Lot-2) - 121</t>
  </si>
  <si>
    <t xml:space="preserve"> TTDI-23  420KV GIS- BHEL-KPS-2 (Lot-2) - 122</t>
  </si>
  <si>
    <t xml:space="preserve"> TTDI-23  420KV GIS- BHEL-KPS-2 (Lot-2) - 123</t>
  </si>
  <si>
    <t xml:space="preserve"> TTDI-23  420KV GIS- BHEL-KPS-2 (Lot-2) - 124</t>
  </si>
  <si>
    <t xml:space="preserve"> TTDI-23  420KV GIS- BHEL-KPS-2 (Lot-2) - 125</t>
  </si>
  <si>
    <t xml:space="preserve"> TTDI-23  420KV GIS- BHEL-KPS-2 (Lot-2) - 126</t>
  </si>
  <si>
    <t xml:space="preserve"> TTDI-23  420KV GIS- BHEL-KPS-2 (Lot-2) - 127</t>
  </si>
  <si>
    <t xml:space="preserve"> TTDI-23  420KV GIS- BHEL-KPS-2 (Lot-2) - 128</t>
  </si>
  <si>
    <t xml:space="preserve"> TTDI-23  420KV GIS- BHEL-KPS-2 (Lot-2) - 129</t>
  </si>
  <si>
    <t xml:space="preserve"> TTDI-23  420KV GIS- BHEL-KPS-2 (Lot-2) - 130</t>
  </si>
  <si>
    <t xml:space="preserve"> TTDI-23  420KV GIS- BHEL-KPS-2 (Lot-2) - 131</t>
  </si>
  <si>
    <t xml:space="preserve"> TTDI-23  420KV GIS- BHEL-KPS-2 (Lot-2) - 132</t>
  </si>
  <si>
    <t xml:space="preserve"> TTDI-23  420KV GIS- BHEL-KPS-2 (Lot-2) - 133</t>
  </si>
  <si>
    <t xml:space="preserve"> TTDI-23  420KV GIS- BHEL-KPS-2 (Lot-2) - 134</t>
  </si>
  <si>
    <t xml:space="preserve"> TTDI-23  420KV GIS- BHEL-KPS-2 (Lot-2) - 135</t>
  </si>
  <si>
    <t xml:space="preserve"> TTDI-23  420KV GIS- BHEL-KPS-2 (Lot-2) - 136</t>
  </si>
  <si>
    <t xml:space="preserve"> TTDI-23  420KV GIS- BHEL-KPS-2 (Lot-2) - 137</t>
  </si>
  <si>
    <t xml:space="preserve"> TTDI-23  420KV GIS- BHEL-KPS-2 (Lot-2) - 138</t>
  </si>
  <si>
    <t xml:space="preserve"> TTDI-23  420KV GIS- BHEL-KPS-2 (Lot-2) - 139</t>
  </si>
  <si>
    <t xml:space="preserve"> TTDI-23  420KV GIS- BHEL-KPS-2 (Lot-2) - 140</t>
  </si>
  <si>
    <t xml:space="preserve"> TTDI-23  420KV GIS- BHEL-KPS-2 (Lot-2) - 141</t>
  </si>
  <si>
    <t xml:space="preserve"> TTDI-23  420KV GIS- BHEL-KPS-2 (Lot-2) - 142</t>
  </si>
  <si>
    <t xml:space="preserve"> TTDI-23  420KV GIS- BHEL-KPS-2 (Lot-2) - 143</t>
  </si>
  <si>
    <t xml:space="preserve"> TTDI-23  420KV GIS- BHEL-KPS-2 (Lot-2) - 144</t>
  </si>
  <si>
    <t xml:space="preserve"> TTDI-23  420KV GIS- BHEL-KPS-2 (Lot-2) - 145</t>
  </si>
  <si>
    <t xml:space="preserve"> TTDI-23  420KV GIS- BHEL-KPS-2 (Lot-2) - 146</t>
  </si>
  <si>
    <t xml:space="preserve"> TTDI-23  420KV GIS- BHEL-KPS-2 (Lot-2) - 147</t>
  </si>
  <si>
    <t xml:space="preserve"> TTDI-23  420KV GIS- BHEL-KPS-2 (Lot-2) - 148</t>
  </si>
  <si>
    <t xml:space="preserve"> TTDI-23  420KV GIS- BHEL-KPS-2 (Lot-2) - 149</t>
  </si>
  <si>
    <t xml:space="preserve"> TTDI-23  420KV GIS- BHEL-KPS-2 (Lot-2) - 150</t>
  </si>
  <si>
    <t xml:space="preserve"> TTDI-23  420KV GIS- BHEL-KPS-2 (Lot-2) - 151</t>
  </si>
  <si>
    <t xml:space="preserve"> TTDI-23  420KV GIS- BHEL-KPS-2 (Lot-2) - 152</t>
  </si>
  <si>
    <t xml:space="preserve"> TTDI-23  420KV GIS- BHEL-KPS-2 (Lot-2) - 153</t>
  </si>
  <si>
    <t xml:space="preserve"> TTDI-23  420KV GIS- BHEL-KPS-2 (Lot-2) - 154</t>
  </si>
  <si>
    <t xml:space="preserve"> TTDI-23  420KV GIS- BHEL-KPS-2 (Lot-2) - 155</t>
  </si>
  <si>
    <t xml:space="preserve"> TTDI-23  420KV GIS- BHEL-KPS-2 (Lot-2) - 156</t>
  </si>
  <si>
    <t xml:space="preserve"> TTDI-23  420KV GIS- BHEL-KPS-2 (Lot-2) - 157</t>
  </si>
  <si>
    <t xml:space="preserve"> TTDI-23  420KV GIS- BHEL-KPS-2 (Lot-2) - 158</t>
  </si>
  <si>
    <t xml:space="preserve"> TTDI-23  420KV GIS- BHEL-KPS-2 (Lot-2) - 159</t>
  </si>
  <si>
    <t xml:space="preserve"> TTDI-23  420KV GIS- BHEL-KPS-2 (Lot-2) - 160</t>
  </si>
  <si>
    <t xml:space="preserve"> TTDI-23  420KV GIS- BHEL-KPS-2 (Lot-2) - 161</t>
  </si>
  <si>
    <t xml:space="preserve"> TTDI-23  420KV GIS- BHEL-KPS-2 (Lot-2) - 162</t>
  </si>
  <si>
    <t xml:space="preserve"> TTDI-23  420KV GIS- BHEL-KPS-2 (Lot-2) - 163</t>
  </si>
  <si>
    <t xml:space="preserve"> TTDI-23  420KV GIS- BHEL-KPS-2 (Lot-2) - 164</t>
  </si>
  <si>
    <t xml:space="preserve"> TTDI-23  420KV GIS- BHEL-KPS-2 (Lot-2) - 165</t>
  </si>
  <si>
    <t xml:space="preserve"> TTDI-23  420KV GIS- BHEL-KPS-2 (Lot-2) - 166</t>
  </si>
  <si>
    <t xml:space="preserve"> TTDI-23  420KV GIS- BHEL-KPS-2 (Lot-2) - 167</t>
  </si>
  <si>
    <t xml:space="preserve"> TTDI-23  420KV GIS- BHEL-KPS-2 (Lot-2) - 168</t>
  </si>
  <si>
    <t xml:space="preserve"> TTDI-23  420KV GIS- BHEL-KPS-2 (Lot-2) - 169</t>
  </si>
  <si>
    <t xml:space="preserve"> TTDI-23  420KV GIS- BHEL-KPS-2 (Lot-2) - 170</t>
  </si>
  <si>
    <t xml:space="preserve"> TTDI-23  420KV GIS- BHEL-KPS-2 (Lot-2) - 171</t>
  </si>
  <si>
    <t xml:space="preserve"> TTDI-23  420KV GIS- BHEL-KPS-2 (Lot-2) - 172</t>
  </si>
  <si>
    <t xml:space="preserve"> TTDI-23  420KV GIS- BHEL-KPS-2 (Lot-2) - 173</t>
  </si>
  <si>
    <t xml:space="preserve"> TTDI-23  420KV GIS- BHEL-KPS-2 (Lot-2) - 174</t>
  </si>
  <si>
    <t xml:space="preserve"> TTDI-23  420KV GIS- BHEL-KPS-2 (Lot-2) - 175</t>
  </si>
  <si>
    <t xml:space="preserve"> TTDI-23  420KV GIS- BHEL-KPS-2 (Lot-2) - 176</t>
  </si>
  <si>
    <t xml:space="preserve"> TTDI-23  420KV GIS- BHEL-KPS-2 (Lot-2) - 177</t>
  </si>
  <si>
    <t xml:space="preserve"> TTDI-23  420KV GIS- BHEL-KPS-2 (Lot-2) - 178</t>
  </si>
  <si>
    <t xml:space="preserve"> TTDI-23  420KV GIS- BHEL-KPS-2 (Lot-2) - 179</t>
  </si>
  <si>
    <t xml:space="preserve"> TTDI-23  420KV GIS- BHEL-KPS-2 (Lot-2) - 180</t>
  </si>
  <si>
    <t xml:space="preserve"> TTDI-23  420KV GIS- BHEL-KPS-2 (Lot-2) - 181</t>
  </si>
  <si>
    <t xml:space="preserve"> TTDI-23  420KV GIS- BHEL-KPS-2 (Lot-2) - 182</t>
  </si>
  <si>
    <t xml:space="preserve"> TTDI-23  420KV GIS- BHEL-KPS-2 (Lot-2) - 183</t>
  </si>
  <si>
    <t xml:space="preserve"> TTDI-23  420KV GIS- BHEL-KPS-2 (Lot-2) - 184</t>
  </si>
  <si>
    <t xml:space="preserve"> TTDI-23  420KV GIS- BHEL-KPS-2 (Lot-2) - 185</t>
  </si>
  <si>
    <t xml:space="preserve"> TTDI-23  420KV GIS- BHEL-KPS-2 (Lot-2) - 186</t>
  </si>
  <si>
    <t xml:space="preserve"> TTDI-23  420KV GIS- BHEL-KPS-2 (Lot-2) - 187</t>
  </si>
  <si>
    <t xml:space="preserve"> TTDI-23  420KV GIS- BHEL-KPS-2 (Lot-2) - 188</t>
  </si>
  <si>
    <t xml:space="preserve"> TTDI-23  420KV GIS- BHEL-KPS-2 (Lot-2) - 189</t>
  </si>
  <si>
    <t xml:space="preserve"> TTDI-23  420KV GIS- BHEL-KPS-2 (Lot-2) - 190</t>
  </si>
  <si>
    <t xml:space="preserve"> TTDI-23  420KV GIS- BHEL-KPS-2 (Lot-2) - 191</t>
  </si>
  <si>
    <t xml:space="preserve"> TTDI-23  420KV GIS- BHEL-KPS-2 (Lot-2) - 192</t>
  </si>
  <si>
    <t xml:space="preserve"> TTDI-23  420KV GIS- BHEL-KPS-2 (Lot-2) - 193</t>
  </si>
  <si>
    <t xml:space="preserve"> TTDI-23  420KV GIS- BHEL-KPS-2 (Lot-2) - 194</t>
  </si>
  <si>
    <t xml:space="preserve"> TTDI-23  420KV GIS- BHEL-KPS-2 (Lot-2) - 195</t>
  </si>
  <si>
    <t xml:space="preserve"> TTDI-23  420KV GIS- BHEL-KPS-2 (Lot-2) - 196</t>
  </si>
  <si>
    <t xml:space="preserve"> TTDI-23  420KV GIS- BHEL-KPS-2 (Lot-2) - 197</t>
  </si>
  <si>
    <t xml:space="preserve"> TTDI-23  420KV GIS- BHEL-KPS-2 (Lot-2) - 198</t>
  </si>
  <si>
    <t xml:space="preserve"> TTDI-23  420KV GIS- BHEL-KPS-2 (Lot-2) - 199</t>
  </si>
  <si>
    <t xml:space="preserve"> TTDI-23  420KV GIS- BHEL-KPS-2 (Lot-2) - 200</t>
  </si>
  <si>
    <t xml:space="preserve"> TTDI-23  420KV GIS- BHEL-KPS-2 (Lot-2) - 201</t>
  </si>
  <si>
    <t xml:space="preserve"> TTDI-23  420KV GIS- BHEL-KPS-2 (Lot-2) - 202</t>
  </si>
  <si>
    <t xml:space="preserve"> TTDI-23  420KV GIS- BHEL-KPS-2 (Lot-2) - 203</t>
  </si>
  <si>
    <t xml:space="preserve"> TTDI-23  420KV GIS- BHEL-KPS-2 (Lot-2) - 204</t>
  </si>
  <si>
    <t xml:space="preserve"> TTDI-23  420KV GIS- BHEL-KPS-2 (Lot-2) - 205</t>
  </si>
  <si>
    <t xml:space="preserve"> TTDI-23  420KV GIS- BHEL-KPS-2 (Lot-2) - 206</t>
  </si>
  <si>
    <t xml:space="preserve"> TTDI-23  420KV GIS- BHEL-KPS-2 (Lot-2) - 207</t>
  </si>
  <si>
    <t xml:space="preserve"> TTDI-23  420KV GIS- BHEL-KPS-2 (Lot-2) - 208</t>
  </si>
  <si>
    <t xml:space="preserve"> TTDI-23  420KV GIS- BHEL-KPS-2 (Lot-2) - 209</t>
  </si>
  <si>
    <t xml:space="preserve"> TTDI-23  420KV GIS- BHEL-KPS-2 (Lot-2) - 210</t>
  </si>
  <si>
    <t xml:space="preserve"> TTDI-23  420KV GIS- BHEL-KPS-2 (Lot-2) - 211</t>
  </si>
  <si>
    <t xml:space="preserve"> TTDI-23  420KV GIS- BHEL-KPS-2 (Lot-2) - 212</t>
  </si>
  <si>
    <t xml:space="preserve"> TTDI-23  420KV GIS- BHEL-KPS-2 (Lot-2) - 213</t>
  </si>
  <si>
    <t xml:space="preserve"> TTDI-23  420KV GIS- BHEL-KPS-2 (Lot-2) - 214</t>
  </si>
  <si>
    <t xml:space="preserve"> TTDI-23  420KV GIS- BHEL-KPS-2 (Lot-2) - 215</t>
  </si>
  <si>
    <t xml:space="preserve"> TTDI-23  420KV GIS- BHEL-KPS-2 (Lot-2) - 216</t>
  </si>
  <si>
    <t xml:space="preserve"> TTDI-23  420KV GIS- BHEL-KPS-2 (Lot-2) - 217</t>
  </si>
  <si>
    <t xml:space="preserve"> TTDI-23  420KV GIS- BHEL-KPS-2 (Lot-2) - 218</t>
  </si>
  <si>
    <t xml:space="preserve"> TTDI-23  420KV GIS- BHEL-KPS-2 (Lot-2) - 219</t>
  </si>
  <si>
    <t xml:space="preserve"> TTDI-23  420KV GIS- BHEL-KPS-2 (Lot-2) - 220</t>
  </si>
  <si>
    <t>HR73B9586</t>
  </si>
  <si>
    <t>NL01Q3026</t>
  </si>
  <si>
    <t xml:space="preserve"> TTDI-23  420KV GIS- BHEL-KPS-2 (Lot-2) - 221</t>
  </si>
  <si>
    <t xml:space="preserve"> TTDI-23  420KV GIS- BHEL-KPS-2 (Lot-2) - 222</t>
  </si>
  <si>
    <t xml:space="preserve"> TTDI-23  420KV GIS- BHEL-KPS-2 (Lot-2) - 223</t>
  </si>
  <si>
    <t xml:space="preserve"> TTDI-23  420KV GIS- BHEL-KPS-2 (Lot-2) - 224</t>
  </si>
  <si>
    <t xml:space="preserve"> TTDI-23  420KV GIS- BHEL-KPS-2 (Lot-2) - 225</t>
  </si>
  <si>
    <t xml:space="preserve"> TTDI-23  420KV GIS- BHEL-KPS-2 (Lot-2) - 226</t>
  </si>
  <si>
    <t xml:space="preserve"> TTDI-23  420KV GIS- BHEL-KPS-2 (Lot-2) - 227</t>
  </si>
  <si>
    <t xml:space="preserve"> TTDI-23  420KV GIS- BHEL-KPS-2 (Lot-2) - 228</t>
  </si>
  <si>
    <t>SF6 Gas(Cylinder-50kg) Sl.No: H1B40B-36232,36257,36276,36284,36290,36317,36425,36468,36479,36499</t>
  </si>
  <si>
    <t>SF6 Gas(Cylinder-50kg) Sl.No: H1B40B-36124,36141,36157,36188,36231,36288,36334,36395,36414,36486</t>
  </si>
  <si>
    <t>SF6 Gas(Cylinder-50kg) Sl.No: H1B40B-36173,36195,36224,36234,36239,36254,36260,36427,36428,36429</t>
  </si>
  <si>
    <t>SF6 Gas(Cylinder-50kg) Sl.No: H1B40B-36128,36131,36159,36305,36352,36374,36390,36404,36443,36441</t>
  </si>
  <si>
    <t>SF6 Gas(Cylinder-50kg) Sl.No: H1B40B-36116,36148,36225,36227,36312,36342,36380,36432,36444,36495</t>
  </si>
  <si>
    <t>SF6 Gas(Cylinder-50kg) Sl.No: H1B40B-36135,36175,36216,36258,36300,36353,36358,36448,36453,36487</t>
  </si>
  <si>
    <t>SF6 Gas(Cylinder-50kg) Sl.No: H1B40B-36166,36178,36241,36263,36321,36339,36341,36362,36429,36481</t>
  </si>
  <si>
    <t>SF6 Gas(Cylinder-50kg) Sl.No: H1B40B-36132,36211,36259,36261,36265,36335,36343,36424,36452,36466</t>
  </si>
  <si>
    <t>HR74B0583</t>
  </si>
  <si>
    <t>SLBT-1</t>
  </si>
  <si>
    <t>SLBT-2</t>
  </si>
  <si>
    <t>PLAN</t>
  </si>
  <si>
    <t>LOT-2 VEHICLE DETAIILS</t>
  </si>
  <si>
    <t>24 Nos GCB :- 12 nos JCB</t>
  </si>
  <si>
    <t>04 Nos Metering Bay :- 02 nos SLBT</t>
  </si>
  <si>
    <t>60 Nos Bus Bars :- 06 nos JCB</t>
  </si>
  <si>
    <t>77 Nos Detch Bus Bars :- 05 nos FBT, 12 nos JCB</t>
  </si>
  <si>
    <t>55 Nos GIB :- 02 nos FBT, 03 nos JCB</t>
  </si>
  <si>
    <t>307 Nos SF6 Gas: 03 nos JCB, 1 nos DCM</t>
  </si>
  <si>
    <t>54 nos CT's :- 04 nos FBT</t>
  </si>
  <si>
    <t>SF6 Gas(Cylinder-50kg) Sl.No: H1B40B- 36105,36121,36137,36168,36171,36194,36240,36354,36371,36488</t>
  </si>
  <si>
    <t>SF6 Gas(Cylinder-50kg) Sl.No: H1B40B- 36103,36117,36127,36183,36245,36344,36351,36360,36387,36469</t>
  </si>
  <si>
    <t>SF6 Gas(Cylinder-50kg) Sl.No: H1B40B- 36130,36158,36170,36198,36214,36226,36408,36420,36455,36473</t>
  </si>
  <si>
    <t>SF6 Gas(Cylinder-50kg) Sl.No: H1B40B- 36126,36152,36192,36196,36326,36340,36376,36450,36491,36500</t>
  </si>
  <si>
    <t>SF6 Gas(Cylinder-50kg) Sl.No: H1B40B- 36164,36185,36222,36228,36250,36251,36271,36370,36396,36407</t>
  </si>
  <si>
    <t>SF6 Gas(Cylinder-50kg) Sl.No: H1B40B- 16449,16679,17118,17152,17173,17318,18065,18123,18405,26233</t>
  </si>
  <si>
    <t>SF6 Gas(Cylinder-50kg) Sl.No: H1B40B- 15952,16522,18113,18215,21098,26231,26297,26307,26344,26353</t>
  </si>
  <si>
    <t>SF6 Gas(Cylinder-50kg) Sl.No: H1B40B- 36104,36144,36155,36205,36237,36363,36365,36386,36436,36464</t>
  </si>
  <si>
    <t xml:space="preserve"> TTDI-23  420KV GIS- BHEL-KPS-2 (Lot-2) - 229</t>
  </si>
  <si>
    <t xml:space="preserve"> TTDI-23  420KV GIS- BHEL-KPS-2 (Lot-2) - 230</t>
  </si>
  <si>
    <t xml:space="preserve"> TTDI-23  420KV GIS- BHEL-KPS-2 (Lot-2) - 231</t>
  </si>
  <si>
    <t xml:space="preserve"> TTDI-23  420KV GIS- BHEL-KPS-2 (Lot-2) - 232</t>
  </si>
  <si>
    <t xml:space="preserve"> TTDI-23  420KV GIS- BHEL-KPS-2 (Lot-2) - 233</t>
  </si>
  <si>
    <t xml:space="preserve"> TTDI-23  420KV GIS- BHEL-KPS-2 (Lot-2) - 234</t>
  </si>
  <si>
    <t xml:space="preserve"> TTDI-23  420KV GIS- BHEL-KPS-2 (Lot-2) - 235</t>
  </si>
  <si>
    <t xml:space="preserve"> TTDI-23  420KV GIS- BHEL-KPS-2 (Lot-2) - 236</t>
  </si>
  <si>
    <t>HR74B5381</t>
  </si>
  <si>
    <t>26 Nos DSES :- 8 nos JCB, 1 nos FBT</t>
  </si>
  <si>
    <t>SF6 Gas(Cylinder-50kg) Sl.No: H1B40B- 2065,2266,4793,7287,11792,11938,17450,18196,22452,23306</t>
  </si>
  <si>
    <t>SF6 Gas(Cylinder-50kg) Sl.No: H1B40B- 15986,16540,16617,16936,17078,17102,17220,18163,18176,18222</t>
  </si>
  <si>
    <t>SF6 Gas(Cylinder-50kg) Sl.No: H1B40B- 16897,17076,17193,17199,17212,17499,18139,18259,18401,26364</t>
  </si>
  <si>
    <t>SF6 Gas(Cylinder-50kg) Sl.No: H1B40B- 4712,16666,17217,18155,19428,26046,26338,26346,26374,26770</t>
  </si>
  <si>
    <t>SF6 Gas(Cylinder-50kg) Sl.No: H1B40B- 17561,17864,20454,20964,21145,22669,22955,23091,23348,23391</t>
  </si>
  <si>
    <t>SF6 Gas(Cylinder-50kg) Sl.No: H1B40B- 2221,2254,20781,20829,21163,21398,21454,26059,26068,26267</t>
  </si>
  <si>
    <t>SF6 Gas(Cylinder-50kg) Sl.No: H1B40B- 36179,36212,36217,36283,36329,36416,36421,36438,36475,36476</t>
  </si>
  <si>
    <t>SF6 Gas(Cylinder-50kg) Sl.No: H1B40B- 16639,17525,18431,19390,22394,23151,24030,24459,24700,25959</t>
  </si>
  <si>
    <t xml:space="preserve"> TTDI-23  420KV GIS- BHEL-KPS-2 (Lot-2) - 237</t>
  </si>
  <si>
    <t xml:space="preserve"> TTDI-23  420KV GIS- BHEL-KPS-2 (Lot-2) - 238</t>
  </si>
  <si>
    <t xml:space="preserve"> TTDI-23  420KV GIS- BHEL-KPS-2 (Lot-2) - 239</t>
  </si>
  <si>
    <t xml:space="preserve"> TTDI-23  420KV GIS- BHEL-KPS-2 (Lot-2) - 240</t>
  </si>
  <si>
    <t xml:space="preserve"> TTDI-23  420KV GIS- BHEL-KPS-2 (Lot-2) - 241</t>
  </si>
  <si>
    <t xml:space="preserve"> TTDI-23  420KV GIS- BHEL-KPS-2 (Lot-2) - 242</t>
  </si>
  <si>
    <t xml:space="preserve"> TTDI-23  420KV GIS- BHEL-KPS-2 (Lot-2) - 243</t>
  </si>
  <si>
    <t xml:space="preserve"> TTDI-23  420KV GIS- BHEL-KPS-2 (Lot-2) - 244</t>
  </si>
  <si>
    <t>15.03.2024</t>
  </si>
  <si>
    <t xml:space="preserve"> TTDI-23  420KV GIS- BHEL-KPS-2 (Lot-2) - 245</t>
  </si>
  <si>
    <t xml:space="preserve"> TTDI-23  420KV GIS- BHEL-KPS-2 (Lot-2) - 246</t>
  </si>
  <si>
    <t xml:space="preserve"> TTDI-23  420KV GIS- BHEL-KPS-2 (Lot-2) - 247</t>
  </si>
  <si>
    <t xml:space="preserve"> TTDI-23  420KV GIS- BHEL-KPS-2 (Lot-2) - 248</t>
  </si>
  <si>
    <t xml:space="preserve"> TTDI-23  420KV GIS- BHEL-KPS-2 (Lot-2) - 249</t>
  </si>
  <si>
    <t xml:space="preserve"> TTDI-23  420KV GIS- BHEL-KPS-2 (Lot-2) - 250</t>
  </si>
  <si>
    <t xml:space="preserve"> TTDI-23  420KV GIS- BHEL-KPS-2 (Lot-2) - 251</t>
  </si>
  <si>
    <t>SF6 Gas(Cylinder-50kg) Sl.No: H1B40B- 16219,17042,17143,17630,18005,18341,18376,18774,22483,22856,23131</t>
  </si>
  <si>
    <t>SF6 Gas(Cylinder-50kg) Sl.No: H1B40B- 17919,18313,18362,18676,18743,18770,18830,19369,19686,19703,23067</t>
  </si>
  <si>
    <t>SF6 Gas(Cylinder-50kg) Sl.No: H1B40B- 13727,17197,17383,17432,17445,17502,17551,18582,18755,18760,18607</t>
  </si>
  <si>
    <t>SF6 Gas(Cylinder-50kg) Sl.No: H1B40B- 17218,17435,17532,17879,17844,18248,18406,18757,18759,19692,22480</t>
  </si>
  <si>
    <t>SF6 Gas(Cylinder-50kg) Sl.No: D1B40B- 3261,H1B40B-2051,4100,7691,11903,13867,16848,17146,17479,26325</t>
  </si>
  <si>
    <t>SF6 Gas(Cylinder-50kg) Sl.No: H1B40B- 2116,2240,16869,17217,20839,21152,21605,21628,21641,25891</t>
  </si>
  <si>
    <t>SF6 Gas(Cylinder-50kg) Sl.No: H1B40B- 7875,11768,16763</t>
  </si>
  <si>
    <t>16.03.2024</t>
  </si>
  <si>
    <t>HR38W3058</t>
  </si>
  <si>
    <t>HR38AG0149</t>
  </si>
  <si>
    <t>HR73A9088</t>
  </si>
  <si>
    <t>RJ14GQ0794</t>
  </si>
  <si>
    <t>HR73A5076</t>
  </si>
  <si>
    <t>17.03.2024</t>
  </si>
  <si>
    <t>HR73A0775</t>
  </si>
  <si>
    <t>GJ12AZ3613</t>
  </si>
  <si>
    <t>HR73A9028</t>
  </si>
  <si>
    <t>GJ 23 AW 6105</t>
  </si>
  <si>
    <t>HR 38 AE 7186</t>
  </si>
  <si>
    <t>GJ12AT9040</t>
  </si>
  <si>
    <t>HR 73 B 5484</t>
  </si>
  <si>
    <t>18.03.2024</t>
  </si>
  <si>
    <t>RJ 06 GD 5573</t>
  </si>
  <si>
    <t>RJ 49 GA 5597</t>
  </si>
  <si>
    <t>RJ 49 GA 4319</t>
  </si>
  <si>
    <t>GJ27 X 7163</t>
  </si>
  <si>
    <t>420kV GIS Busbar Unit - 4-ICB1-X/4-ICB1-Z</t>
  </si>
  <si>
    <t>420kV GIS Busbar Unit - 5-ICB1-X/5-ICB1-Z</t>
  </si>
  <si>
    <t>RJ14GQ5228</t>
  </si>
  <si>
    <t>RJ11GC5643</t>
  </si>
  <si>
    <t>HR74B1118</t>
  </si>
  <si>
    <t>GJ12AZ4429</t>
  </si>
  <si>
    <t>MH46BB2571</t>
  </si>
  <si>
    <t>GJ27TT8679</t>
  </si>
  <si>
    <t>GJ12 BW 5976</t>
  </si>
  <si>
    <t>19.03.2024</t>
  </si>
  <si>
    <t>GJ 12 BW 7695</t>
  </si>
  <si>
    <t>HR 38 Z 6372</t>
  </si>
  <si>
    <t>20.03.2024</t>
  </si>
  <si>
    <t>HR 74 B 6068</t>
  </si>
  <si>
    <t>RJ 14 GQ 2401</t>
  </si>
  <si>
    <t xml:space="preserve"> TTDI-23  420KV GIS- BHEL-KPS-2 (Lot-2) - 252</t>
  </si>
  <si>
    <t xml:space="preserve"> TTDI-23  420KV GIS- BHEL-KPS-2 (Lot-2) - 253</t>
  </si>
  <si>
    <t>420kV GIS  CT Busbar Unit - [1-CTB7- X,Y,Z]</t>
  </si>
  <si>
    <t>420kV GIS  CT Busbar Unit - [1-CTB8- X,Y,Z]</t>
  </si>
  <si>
    <t>DD01M9248</t>
  </si>
  <si>
    <t>HR74B2299</t>
  </si>
  <si>
    <t>HR38AC5640</t>
  </si>
  <si>
    <t>HR38AC2965</t>
  </si>
  <si>
    <t>GJ 12 BT 4396</t>
  </si>
  <si>
    <t>22.03.2024</t>
  </si>
  <si>
    <t>HR38AC9642</t>
  </si>
  <si>
    <t>HR74B3264</t>
  </si>
  <si>
    <t>420kV GIS Detachable busbar - 2-MB2-Y/4-MB6-Y</t>
  </si>
  <si>
    <t>420kV GIS Detachable busbar - 3-MB3-X,Z/3-MB4-X,Z/4-MB1-X,Z/4-MB3-X,Z</t>
  </si>
  <si>
    <t>420kV GIS Detachable busbar - 1-MB6-Y/2-MB1-Y</t>
  </si>
  <si>
    <t>23.03.2024</t>
  </si>
  <si>
    <t>HR 38 Z 2923</t>
  </si>
  <si>
    <t>GJ12BX9772</t>
  </si>
  <si>
    <t>420kV GIS Detachable busbar - 1-MB5-X/1-MB6-X</t>
  </si>
  <si>
    <t>420kV GIS Detachable busbar - 3-MB4-Y/3-MB5-X/3-MB5-Y/3-MB5-Z/4-MB1-Y /4-MB2-X/4-MB2-Y/4-MB2-Z</t>
  </si>
  <si>
    <t>420kV GIS Detachable busbar - 4-MB6-X/4-MB7-X</t>
  </si>
  <si>
    <t>420kV GIS Detachable busbar - 1-MB5-Z/1-MB6-Z</t>
  </si>
  <si>
    <t>420kV GIS Detachable busbar - 2-MB1-Z/2-MB2-Z</t>
  </si>
  <si>
    <t>420kV GIS Detachable busbar - 4-MB6-Z/4-MB7-Z</t>
  </si>
  <si>
    <t>MH14GD1511</t>
  </si>
  <si>
    <t>GJ27TD3012</t>
  </si>
  <si>
    <t>HR38Y7009</t>
  </si>
  <si>
    <t>HR38AC5186</t>
  </si>
  <si>
    <t>14Cx1.5 PVC Unarmour</t>
  </si>
  <si>
    <t>8Cx2.5 PVC Unarmour</t>
  </si>
  <si>
    <t>10Cx2.5 PVC Unarmour</t>
  </si>
  <si>
    <t>46Cx1.5 PVC Unarmour</t>
  </si>
  <si>
    <t>32Cx1.5 PVC Unarmour</t>
  </si>
  <si>
    <t>27Cx1.5 PVC Unarmour</t>
  </si>
  <si>
    <t>4Cx1.5 PVC Unarmour</t>
  </si>
  <si>
    <t>7Cx1.5 PVC Unarmour</t>
  </si>
  <si>
    <t>14Cx2.5 PVC Unarmour</t>
  </si>
  <si>
    <t xml:space="preserve"> TTDI-23  420KV GIS- BHEL-KPS-2 (Lot-2) - 254</t>
  </si>
  <si>
    <t xml:space="preserve"> TTDI-23  420KV GIS- BHEL-KPS-2 (Lot-2) - 255</t>
  </si>
  <si>
    <t xml:space="preserve"> TTDI-23  420KV GIS- BHEL-KPS-2 (Lot-2) - 256</t>
  </si>
  <si>
    <t xml:space="preserve"> TTDI-23  420KV GIS- BHEL-KPS-2 (Lot-2) - 257</t>
  </si>
  <si>
    <t xml:space="preserve"> TTDI-23  420KV GIS- BHEL-KPS-2 (Lot-2) - 258</t>
  </si>
  <si>
    <t xml:space="preserve"> TTDI-23  420KV GIS- BHEL-KPS-2 (Lot-2) - 259</t>
  </si>
  <si>
    <t xml:space="preserve"> TTDI-23  420KV GIS- BHEL-KPS-2 (Lot-2) - 260</t>
  </si>
  <si>
    <t xml:space="preserve"> TTDI-23  420KV GIS- BHEL-KPS-2 (Lot-2) - 261</t>
  </si>
  <si>
    <t xml:space="preserve"> TTDI-23  420KV GIS- BHEL-KPS-2 (Lot-2) - 262</t>
  </si>
  <si>
    <t xml:space="preserve"> TTDI-23  420KV GIS- BHEL-KPS-2 (Lot-2) - 263</t>
  </si>
  <si>
    <t xml:space="preserve"> TTDI-23  420KV GIS- BHEL-KPS-2 (Lot-2) - 264</t>
  </si>
  <si>
    <t xml:space="preserve"> TTDI-23  420KV GIS- BHEL-KPS-2 (Lot-2) - 265</t>
  </si>
  <si>
    <t xml:space="preserve"> TTDI-23  420KV GIS- BHEL-KPS-2 (Lot-2) - 266</t>
  </si>
  <si>
    <t xml:space="preserve"> TTDI-23  420KV GIS- BHEL-KPS-2 (Lot-2) - 267</t>
  </si>
  <si>
    <t xml:space="preserve"> TTDI-23  420KV GIS- BHEL-KPS-2 (Lot-2) - 268</t>
  </si>
  <si>
    <t xml:space="preserve"> TTDI-23  420KV GIS- BHEL-KPS-2 (Lot-2) - 269</t>
  </si>
  <si>
    <t xml:space="preserve"> TTDI-23  420KV GIS- BHEL-KPS-2 (Lot-2) - 270</t>
  </si>
  <si>
    <t xml:space="preserve"> TTDI-23  420KV GIS- BHEL-KPS-2 (Lot-2) - 271</t>
  </si>
  <si>
    <t xml:space="preserve"> TTDI-23  420KV GIS- BHEL-KPS-2 (Lot-2) - 272</t>
  </si>
  <si>
    <t xml:space="preserve"> TTDI-23  420KV GIS- BHEL-KPS-2 (Lot-2) - 273</t>
  </si>
  <si>
    <t xml:space="preserve"> TTDI-23  420KV GIS- BHEL-KPS-2 (Lot-2) - 274</t>
  </si>
  <si>
    <t xml:space="preserve"> TTDI-23  420KV GIS- BHEL-KPS-2 (Lot-2) - 275</t>
  </si>
  <si>
    <t xml:space="preserve"> TTDI-23  420KV GIS- BHEL-KPS-2 (Lot-2) - 276</t>
  </si>
  <si>
    <t xml:space="preserve"> TTDI-23  420KV GIS- BHEL-KPS-2 (Lot-2) - 277</t>
  </si>
  <si>
    <t xml:space="preserve"> TTDI-23  420KV GIS- BHEL-KPS-2 (Lot-2) - 278</t>
  </si>
  <si>
    <t xml:space="preserve"> TTDI-23  420KV GIS- BHEL-KPS-2 (Lot-2) - 279</t>
  </si>
  <si>
    <t xml:space="preserve"> TTDI-23  420KV GIS- BHEL-KPS-2 (Lot-2) - 280</t>
  </si>
  <si>
    <t xml:space="preserve"> TTDI-23  420KV GIS- BHEL-KPS-2 (Lot-2) - 281</t>
  </si>
  <si>
    <t xml:space="preserve"> TTDI-23  420KV GIS- BHEL-KPS-2 (Lot-2) - 282</t>
  </si>
  <si>
    <t xml:space="preserve"> TTDI-23  420KV GIS- BHEL-KPS-2 (Lot-2) - 283</t>
  </si>
  <si>
    <t xml:space="preserve"> TTDI-23  420KV GIS- BHEL-KPS-2 (Lot-2) - 284</t>
  </si>
  <si>
    <t>1024 Mtrs</t>
  </si>
  <si>
    <t>1029 Mtrs</t>
  </si>
  <si>
    <t>709 Mtrs</t>
  </si>
  <si>
    <t>868 Mtrs</t>
  </si>
  <si>
    <t>1015 Mtrs</t>
  </si>
  <si>
    <t>1014 Mtrs</t>
  </si>
  <si>
    <t>1047 Mtrs</t>
  </si>
  <si>
    <t>1043 Mtrs</t>
  </si>
  <si>
    <t>1030 Mtrs</t>
  </si>
  <si>
    <t>1032 Mtrs</t>
  </si>
  <si>
    <t>1039 Mtrs</t>
  </si>
  <si>
    <t>1034 Mtrs</t>
  </si>
  <si>
    <t>1049 Mtrs</t>
  </si>
  <si>
    <t>1020 Mtrs</t>
  </si>
  <si>
    <t>1025 Mtrs</t>
  </si>
  <si>
    <t>1037 Mtrs</t>
  </si>
  <si>
    <t>1023 Mtrs</t>
  </si>
  <si>
    <t>555 Mtrs</t>
  </si>
  <si>
    <t>1003 Mtrs</t>
  </si>
  <si>
    <t>Drum</t>
  </si>
  <si>
    <t>147 Mtrs</t>
  </si>
  <si>
    <t>571 Mtrs</t>
  </si>
  <si>
    <t>810 Mtrs</t>
  </si>
  <si>
    <t>988 Mtrs</t>
  </si>
  <si>
    <t>448 Mtrs</t>
  </si>
  <si>
    <t>773 Mtrs</t>
  </si>
  <si>
    <t>HR74B3376</t>
  </si>
  <si>
    <t>HR74B8165</t>
  </si>
  <si>
    <t>420kV GIS Detachable busbar - 1-MB3-Y/1-MB5-Y</t>
  </si>
  <si>
    <t>420kV GIS Detachable busbar - 4-MB7-Y/5-MB2-Y</t>
  </si>
  <si>
    <t>420kV GIS Detachable busbar - 1-MB4-Y/5-MB1-Y</t>
  </si>
  <si>
    <t>420kV GIS Detachable busbar - 1-MB1-Y/1-MB2-Y</t>
  </si>
  <si>
    <t>420kV GIS Detachable busbar - 1-MB1-Z/1-MB2-Z</t>
  </si>
  <si>
    <t>GJ 12 BY 3305</t>
  </si>
  <si>
    <t>27.03.2024</t>
  </si>
  <si>
    <t>GJ 04 AT 7717</t>
  </si>
  <si>
    <t>DCM-1</t>
  </si>
  <si>
    <t>GJ 03 AX 5008</t>
  </si>
  <si>
    <t>DCM-2</t>
  </si>
  <si>
    <t>DCM-3</t>
  </si>
  <si>
    <t>GJ 19 X 6651</t>
  </si>
  <si>
    <t>GIS &amp; LCC Cable Accessories (As per Annexure - 1)</t>
  </si>
  <si>
    <t>GIS &amp; LCC Cable Accessories (As per Annexure - 2)</t>
  </si>
  <si>
    <t xml:space="preserve"> TTDI-23  420KV GIS- BHEL-KPS-2 (Lot-2) - 285</t>
  </si>
  <si>
    <t xml:space="preserve"> TTDI-23  420KV GIS- BHEL-KPS-2 (Lot-2) - 286</t>
  </si>
  <si>
    <t>As per Annex</t>
  </si>
  <si>
    <t>420kV GIS Detachable busbar - 5-MB4-X,Y,Z/5-MB3-Z</t>
  </si>
  <si>
    <t>GJ 12 BV 1963</t>
  </si>
  <si>
    <t>420kV GIS Detachable busbar - 5-MB3-X/5-MB3-Y</t>
  </si>
  <si>
    <t>PO Line Item Name</t>
  </si>
  <si>
    <t>Bay Name</t>
  </si>
  <si>
    <t>1.05000 SUPPLY- GIS : 400KV, 63KA FOR 1S, 3150A, GIS TRANSFORMER FEEDER BAY</t>
  </si>
  <si>
    <t>1.04000 SUPPLY- GIS : 400KV, 63KA FOR 1S, 3150A, GIS TIE BAY WITHOUT PIR</t>
  </si>
  <si>
    <t>1.02000 SUPPLY- GIS : 400KV, 63KA FOR 1S, 3150A, GIS BUS REACTOR FEEDER BAY</t>
  </si>
  <si>
    <t>1.06000 SUPPLY- GIS : 400KV, 63KA FOR 1S, 3150A, GIS LINE FEEDER BAY WITHOUT PIR</t>
  </si>
  <si>
    <t>Metering bay which is not a separate line item.</t>
  </si>
  <si>
    <t>1.01000 SUPPLY- GIS : 420KV, 63KA FOR 1S, 3150A, SF6 GIS AUXILIARY BUS MODULE FOR SPARETRANSFORMER</t>
  </si>
  <si>
    <t>1.03000 SUPPLY- GIS : 400KV, 63KA FOR 1S, 4000A, ONE &amp; HALF CIRCUIT BREAKER SCHEME -GISBUS BAR MODULE</t>
  </si>
  <si>
    <t>1.14000
SUPPLY- GIS : 400KV, SF6 GAS REQUIRED FOR PLACING GIS INTO SUCCESSFULOPERATION</t>
  </si>
  <si>
    <t>1.18000 SUPPLY- GIS : CABLES, LOOSE ITEMS &amp; ACCESSORIES FOR LCC TYPE A</t>
  </si>
  <si>
    <t>-</t>
  </si>
  <si>
    <t>These are interconnecting Bus Bars. There no separate line item. Supplied along with Bays</t>
  </si>
  <si>
    <t>LR Details</t>
  </si>
  <si>
    <t>GJ 27 TD 0433</t>
  </si>
  <si>
    <t>HR 73 B 9586</t>
  </si>
  <si>
    <t>32 Ft JCB</t>
  </si>
  <si>
    <t>RJ04GB2088</t>
  </si>
  <si>
    <t>HR73A3539</t>
  </si>
  <si>
    <t>02.04.2024</t>
  </si>
  <si>
    <t>420kV GIS Detachable busbar - 3-MB2-Z/3-MB1-Z</t>
  </si>
  <si>
    <t>420kV GIS Detachable busbar - 5-MB1-X/5-MB1-Z</t>
  </si>
  <si>
    <t>GJ12BZ4934</t>
  </si>
  <si>
    <t>420kV GIS Detachable busbar - 3-MB1-X/3-MB1-Y/4-MB5-Y/4-MB4-Y</t>
  </si>
  <si>
    <t>420kV GIS Detachable busbar - 3-MB2-X/3-MB2-Y/</t>
  </si>
  <si>
    <t>420kV GIS Detachable busbar - 4-MB5-Z/4-MB5-X</t>
  </si>
  <si>
    <t>MH40CD5082</t>
  </si>
  <si>
    <t>GJ 12 AZ 4357</t>
  </si>
  <si>
    <t>TOSHIBA CONTROL SWITCHING SYS (CDS) (HCPC00000521 - 05 Nos, HCPC00000514 - 02 Nos)</t>
  </si>
  <si>
    <t>TOSHIBA CONTROL SWITCHING SYS (CDS) (HCPC00000514 - 06 Nos)</t>
  </si>
  <si>
    <t>420kV GIS Separately Shipping Parts As per Annexure - 3</t>
  </si>
  <si>
    <t xml:space="preserve"> TTDI-23  420KV GIS- BHEL-KPS-2 (Lot-2) - 287</t>
  </si>
  <si>
    <t xml:space="preserve"> TTDI-23  420KV GIS- BHEL-KPS-2 (Lot-2) - 288</t>
  </si>
  <si>
    <t xml:space="preserve"> TTDI-23  420KV GIS- BHEL-KPS-2 (Lot-2) - 289</t>
  </si>
  <si>
    <t>04.04.2024</t>
  </si>
  <si>
    <t>HR 74 B 2988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</si>
</sst>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ＭＳ 明朝"/>
      <family val="1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mbri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8">
    <xf numFmtId="0" fontId="0" fillId="0" borderId="0"/>
    <xf numFmtId="0" fontId="1" fillId="0" borderId="0">
      <alignment vertical="center"/>
    </xf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10" applyNumberFormat="0" applyAlignment="0" applyProtection="0"/>
    <xf numFmtId="0" fontId="10" fillId="6" borderId="11" applyNumberFormat="0" applyAlignment="0" applyProtection="0"/>
    <xf numFmtId="0" fontId="11" fillId="6" borderId="10" applyNumberFormat="0" applyAlignment="0" applyProtection="0"/>
    <xf numFmtId="0" fontId="12" fillId="0" borderId="12" applyNumberFormat="0" applyFill="0" applyAlignment="0" applyProtection="0"/>
    <xf numFmtId="0" fontId="13" fillId="7" borderId="13" applyNumberFormat="0" applyAlignment="0" applyProtection="0"/>
    <xf numFmtId="0" fontId="14" fillId="0" borderId="0" applyNumberFormat="0" applyFill="0" applyBorder="0" applyAlignment="0" applyProtection="0"/>
    <xf numFmtId="0" fontId="2" fillId="8" borderId="14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>
      <alignment vertical="center"/>
    </xf>
    <xf numFmtId="0" fontId="1" fillId="0" borderId="0"/>
    <xf numFmtId="0" fontId="21" fillId="0" borderId="0"/>
    <xf numFmtId="0" fontId="2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" fillId="0" borderId="0"/>
    <xf numFmtId="0" fontId="2" fillId="8" borderId="14" applyNumberFormat="0" applyFont="0" applyAlignment="0" applyProtection="0"/>
    <xf numFmtId="0" fontId="1" fillId="0" borderId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8" fillId="0" borderId="0"/>
    <xf numFmtId="0" fontId="28" fillId="0" borderId="0"/>
    <xf numFmtId="0" fontId="2" fillId="0" borderId="0"/>
    <xf numFmtId="0" fontId="1" fillId="0" borderId="0">
      <alignment vertical="center"/>
    </xf>
    <xf numFmtId="0" fontId="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2">
    <xf numFmtId="0" fontId="0" fillId="0" borderId="0" xfId="0"/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/>
    </xf>
    <xf numFmtId="0" fontId="24" fillId="0" borderId="6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/>
    </xf>
    <xf numFmtId="0" fontId="23" fillId="0" borderId="16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horizontal="center" vertical="center"/>
    </xf>
    <xf numFmtId="0" fontId="23" fillId="0" borderId="16" xfId="0" applyFont="1" applyFill="1" applyBorder="1" applyAlignment="1">
      <alignment horizontal="left" vertical="center"/>
    </xf>
    <xf numFmtId="0" fontId="22" fillId="0" borderId="6" xfId="0" applyFont="1" applyFill="1" applyBorder="1" applyAlignment="1">
      <alignment horizontal="left"/>
    </xf>
    <xf numFmtId="0" fontId="22" fillId="0" borderId="0" xfId="0" applyFont="1" applyFill="1" applyAlignment="1">
      <alignment horizontal="left" vertical="center"/>
    </xf>
    <xf numFmtId="0" fontId="23" fillId="0" borderId="16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5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0" fontId="24" fillId="0" borderId="5" xfId="0" applyFont="1" applyFill="1" applyBorder="1" applyAlignment="1">
      <alignment vertical="center"/>
    </xf>
    <xf numFmtId="0" fontId="22" fillId="0" borderId="0" xfId="0" applyFont="1" applyFill="1" applyAlignment="1"/>
    <xf numFmtId="0" fontId="24" fillId="0" borderId="1" xfId="0" applyFont="1" applyFill="1" applyBorder="1" applyAlignment="1">
      <alignment horizontal="left" vertical="center"/>
    </xf>
    <xf numFmtId="0" fontId="24" fillId="0" borderId="5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 wrapText="1"/>
    </xf>
    <xf numFmtId="0" fontId="24" fillId="0" borderId="5" xfId="0" applyNumberFormat="1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/>
    </xf>
    <xf numFmtId="0" fontId="30" fillId="0" borderId="0" xfId="0" applyFont="1" applyFill="1" applyAlignment="1">
      <alignment horizontal="left"/>
    </xf>
    <xf numFmtId="0" fontId="29" fillId="0" borderId="6" xfId="0" applyFont="1" applyFill="1" applyBorder="1" applyAlignment="1">
      <alignment horizontal="left"/>
    </xf>
    <xf numFmtId="0" fontId="29" fillId="0" borderId="0" xfId="0" applyFont="1" applyFill="1" applyAlignment="1">
      <alignment horizontal="left" vertical="center"/>
    </xf>
    <xf numFmtId="0" fontId="32" fillId="33" borderId="6" xfId="0" applyFont="1" applyFill="1" applyBorder="1" applyAlignment="1">
      <alignment horizontal="left" vertical="center" wrapText="1"/>
    </xf>
    <xf numFmtId="0" fontId="31" fillId="33" borderId="6" xfId="0" applyFont="1" applyFill="1" applyBorder="1" applyAlignment="1">
      <alignment horizontal="left" vertical="center" wrapText="1"/>
    </xf>
    <xf numFmtId="0" fontId="31" fillId="0" borderId="6" xfId="0" applyFont="1" applyFill="1" applyBorder="1" applyAlignment="1">
      <alignment horizontal="left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19" xfId="0" applyFont="1" applyFill="1" applyBorder="1" applyAlignment="1">
      <alignment horizontal="left" vertical="center" wrapText="1"/>
    </xf>
    <xf numFmtId="0" fontId="33" fillId="35" borderId="1" xfId="0" applyFont="1" applyFill="1" applyBorder="1" applyAlignment="1">
      <alignment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6" xfId="0" applyFont="1" applyFill="1" applyBorder="1" applyAlignment="1">
      <alignment horizontal="center" vertical="center" wrapText="1"/>
    </xf>
    <xf numFmtId="0" fontId="34" fillId="33" borderId="6" xfId="0" applyNumberFormat="1" applyFont="1" applyFill="1" applyBorder="1" applyAlignment="1">
      <alignment horizontal="center" vertical="center" wrapText="1"/>
    </xf>
    <xf numFmtId="0" fontId="33" fillId="33" borderId="6" xfId="0" applyNumberFormat="1" applyFont="1" applyFill="1" applyBorder="1" applyAlignment="1">
      <alignment horizontal="center" vertical="center" wrapText="1"/>
    </xf>
    <xf numFmtId="0" fontId="33" fillId="35" borderId="20" xfId="0" applyFont="1" applyFill="1" applyBorder="1" applyAlignment="1">
      <alignment vertical="center" wrapText="1"/>
    </xf>
    <xf numFmtId="0" fontId="34" fillId="33" borderId="6" xfId="0" applyFont="1" applyFill="1" applyBorder="1" applyAlignment="1">
      <alignment horizontal="center" wrapText="1"/>
    </xf>
    <xf numFmtId="0" fontId="33" fillId="36" borderId="6" xfId="0" applyFont="1" applyFill="1" applyBorder="1" applyAlignment="1">
      <alignment horizontal="left" vertical="center" wrapText="1"/>
    </xf>
    <xf numFmtId="0" fontId="33" fillId="33" borderId="6" xfId="0" applyFont="1" applyFill="1" applyBorder="1" applyAlignment="1">
      <alignment horizontal="center" vertical="center" wrapText="1"/>
    </xf>
    <xf numFmtId="0" fontId="33" fillId="35" borderId="5" xfId="0" applyFont="1" applyFill="1" applyBorder="1" applyAlignment="1">
      <alignment vertical="center" wrapText="1"/>
    </xf>
    <xf numFmtId="0" fontId="33" fillId="34" borderId="1" xfId="0" applyFont="1" applyFill="1" applyBorder="1" applyAlignment="1">
      <alignment vertical="center" wrapText="1"/>
    </xf>
    <xf numFmtId="0" fontId="33" fillId="34" borderId="20" xfId="0" applyFont="1" applyFill="1" applyBorder="1" applyAlignment="1">
      <alignment vertical="center" wrapText="1"/>
    </xf>
    <xf numFmtId="0" fontId="33" fillId="34" borderId="5" xfId="0" applyFont="1" applyFill="1" applyBorder="1" applyAlignment="1">
      <alignment vertical="center" wrapText="1"/>
    </xf>
    <xf numFmtId="0" fontId="33" fillId="38" borderId="1" xfId="0" applyFont="1" applyFill="1" applyBorder="1" applyAlignment="1">
      <alignment vertical="center" wrapText="1"/>
    </xf>
    <xf numFmtId="0" fontId="33" fillId="38" borderId="20" xfId="0" applyFont="1" applyFill="1" applyBorder="1" applyAlignment="1">
      <alignment vertical="center" wrapText="1"/>
    </xf>
    <xf numFmtId="0" fontId="33" fillId="38" borderId="5" xfId="0" applyFont="1" applyFill="1" applyBorder="1" applyAlignment="1">
      <alignment vertical="center" wrapText="1"/>
    </xf>
    <xf numFmtId="0" fontId="34" fillId="33" borderId="19" xfId="0" applyFont="1" applyFill="1" applyBorder="1" applyAlignment="1">
      <alignment horizontal="left" vertical="center" wrapText="1"/>
    </xf>
    <xf numFmtId="0" fontId="34" fillId="35" borderId="1" xfId="0" applyFont="1" applyFill="1" applyBorder="1" applyAlignment="1">
      <alignment vertical="center" wrapText="1"/>
    </xf>
    <xf numFmtId="14" fontId="34" fillId="33" borderId="6" xfId="0" applyNumberFormat="1" applyFont="1" applyFill="1" applyBorder="1" applyAlignment="1">
      <alignment horizontal="center" vertical="center" wrapText="1"/>
    </xf>
    <xf numFmtId="0" fontId="34" fillId="35" borderId="20" xfId="0" applyFont="1" applyFill="1" applyBorder="1" applyAlignment="1">
      <alignment vertical="center" wrapText="1"/>
    </xf>
    <xf numFmtId="0" fontId="34" fillId="36" borderId="6" xfId="0" applyFont="1" applyFill="1" applyBorder="1" applyAlignment="1">
      <alignment horizontal="left" vertical="center" wrapText="1"/>
    </xf>
    <xf numFmtId="0" fontId="34" fillId="35" borderId="5" xfId="0" applyFont="1" applyFill="1" applyBorder="1" applyAlignment="1">
      <alignment vertical="center" wrapText="1"/>
    </xf>
    <xf numFmtId="0" fontId="33" fillId="36" borderId="1" xfId="0" applyFont="1" applyFill="1" applyBorder="1" applyAlignment="1">
      <alignment vertical="center" wrapText="1"/>
    </xf>
    <xf numFmtId="0" fontId="33" fillId="36" borderId="20" xfId="0" applyFont="1" applyFill="1" applyBorder="1" applyAlignment="1">
      <alignment vertical="center" wrapText="1"/>
    </xf>
    <xf numFmtId="0" fontId="33" fillId="36" borderId="5" xfId="0" applyFont="1" applyFill="1" applyBorder="1" applyAlignment="1">
      <alignment vertical="center" wrapText="1"/>
    </xf>
    <xf numFmtId="0" fontId="33" fillId="39" borderId="1" xfId="0" applyFont="1" applyFill="1" applyBorder="1" applyAlignment="1">
      <alignment vertical="center" wrapText="1"/>
    </xf>
    <xf numFmtId="0" fontId="33" fillId="39" borderId="20" xfId="0" applyFont="1" applyFill="1" applyBorder="1" applyAlignment="1">
      <alignment vertical="center" wrapText="1"/>
    </xf>
    <xf numFmtId="0" fontId="33" fillId="33" borderId="1" xfId="0" applyNumberFormat="1" applyFont="1" applyFill="1" applyBorder="1" applyAlignment="1">
      <alignment horizontal="center" vertical="center" wrapText="1"/>
    </xf>
    <xf numFmtId="0" fontId="34" fillId="33" borderId="1" xfId="0" applyFont="1" applyFill="1" applyBorder="1" applyAlignment="1">
      <alignment horizontal="center" vertical="center" wrapText="1"/>
    </xf>
    <xf numFmtId="0" fontId="33" fillId="39" borderId="5" xfId="0" applyFont="1" applyFill="1" applyBorder="1" applyAlignment="1">
      <alignment vertical="center" wrapText="1"/>
    </xf>
    <xf numFmtId="0" fontId="33" fillId="40" borderId="6" xfId="0" applyFont="1" applyFill="1" applyBorder="1" applyAlignment="1">
      <alignment horizontal="left" vertical="center" wrapText="1"/>
    </xf>
    <xf numFmtId="0" fontId="33" fillId="33" borderId="2" xfId="0" applyFont="1" applyFill="1" applyBorder="1" applyAlignment="1">
      <alignment horizontal="left" vertical="center" wrapText="1"/>
    </xf>
    <xf numFmtId="1" fontId="35" fillId="33" borderId="17" xfId="78" applyNumberFormat="1" applyFont="1" applyFill="1" applyBorder="1" applyAlignment="1">
      <alignment horizontal="center" vertical="center" wrapText="1" shrinkToFit="1"/>
    </xf>
    <xf numFmtId="0" fontId="35" fillId="33" borderId="17" xfId="78" applyNumberFormat="1" applyFont="1" applyFill="1" applyBorder="1" applyAlignment="1">
      <alignment horizontal="center" vertical="center" wrapText="1" shrinkToFit="1"/>
    </xf>
    <xf numFmtId="0" fontId="34" fillId="37" borderId="6" xfId="0" applyFont="1" applyFill="1" applyBorder="1" applyAlignment="1">
      <alignment horizontal="left" wrapText="1"/>
    </xf>
    <xf numFmtId="0" fontId="34" fillId="33" borderId="2" xfId="0" applyFont="1" applyFill="1" applyBorder="1" applyAlignment="1">
      <alignment horizontal="center" wrapText="1"/>
    </xf>
    <xf numFmtId="0" fontId="34" fillId="39" borderId="1" xfId="0" applyFont="1" applyFill="1" applyBorder="1" applyAlignment="1">
      <alignment vertical="center" wrapText="1"/>
    </xf>
    <xf numFmtId="0" fontId="34" fillId="41" borderId="6" xfId="0" applyFont="1" applyFill="1" applyBorder="1" applyAlignment="1">
      <alignment horizontal="center" vertical="center" wrapText="1"/>
    </xf>
    <xf numFmtId="0" fontId="34" fillId="39" borderId="5" xfId="0" applyFont="1" applyFill="1" applyBorder="1" applyAlignment="1">
      <alignment vertical="center" wrapText="1"/>
    </xf>
    <xf numFmtId="0" fontId="34" fillId="33" borderId="1" xfId="0" applyFont="1" applyFill="1" applyBorder="1" applyAlignment="1">
      <alignment vertical="center" wrapText="1"/>
    </xf>
    <xf numFmtId="0" fontId="34" fillId="39" borderId="6" xfId="0" applyFont="1" applyFill="1" applyBorder="1" applyAlignment="1">
      <alignment horizontal="center" vertical="center" wrapText="1"/>
    </xf>
    <xf numFmtId="0" fontId="34" fillId="33" borderId="20" xfId="0" applyFont="1" applyFill="1" applyBorder="1" applyAlignment="1">
      <alignment vertical="center" wrapText="1"/>
    </xf>
    <xf numFmtId="0" fontId="34" fillId="37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vertical="center" wrapText="1"/>
    </xf>
    <xf numFmtId="0" fontId="33" fillId="37" borderId="6" xfId="0" applyFont="1" applyFill="1" applyBorder="1" applyAlignment="1">
      <alignment horizontal="left" wrapText="1"/>
    </xf>
    <xf numFmtId="0" fontId="34" fillId="33" borderId="6" xfId="0" applyFont="1" applyFill="1" applyBorder="1" applyAlignment="1">
      <alignment vertical="center" wrapText="1"/>
    </xf>
    <xf numFmtId="0" fontId="34" fillId="39" borderId="6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left" wrapText="1"/>
    </xf>
    <xf numFmtId="0" fontId="34" fillId="0" borderId="6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center" wrapText="1"/>
    </xf>
    <xf numFmtId="0" fontId="34" fillId="0" borderId="6" xfId="0" applyFont="1" applyFill="1" applyBorder="1" applyAlignment="1">
      <alignment horizontal="center" vertical="center" wrapText="1"/>
    </xf>
    <xf numFmtId="0" fontId="34" fillId="0" borderId="6" xfId="0" applyNumberFormat="1" applyFont="1" applyFill="1" applyBorder="1" applyAlignment="1">
      <alignment horizontal="center" vertical="center" wrapText="1"/>
    </xf>
    <xf numFmtId="0" fontId="33" fillId="37" borderId="6" xfId="0" applyFont="1" applyFill="1" applyBorder="1" applyAlignment="1">
      <alignment horizontal="left" vertical="center" wrapText="1"/>
    </xf>
    <xf numFmtId="0" fontId="34" fillId="39" borderId="6" xfId="0" applyFont="1" applyFill="1" applyBorder="1" applyAlignment="1">
      <alignment vertical="center" wrapText="1"/>
    </xf>
    <xf numFmtId="0" fontId="34" fillId="38" borderId="1" xfId="0" applyFont="1" applyFill="1" applyBorder="1" applyAlignment="1">
      <alignment wrapText="1"/>
    </xf>
    <xf numFmtId="0" fontId="35" fillId="33" borderId="6" xfId="78" applyNumberFormat="1" applyFont="1" applyFill="1" applyBorder="1" applyAlignment="1">
      <alignment horizontal="center" vertical="center" wrapText="1" shrinkToFit="1"/>
    </xf>
    <xf numFmtId="0" fontId="34" fillId="38" borderId="5" xfId="0" applyFont="1" applyFill="1" applyBorder="1" applyAlignment="1">
      <alignment wrapText="1"/>
    </xf>
    <xf numFmtId="1" fontId="35" fillId="33" borderId="6" xfId="78" applyNumberFormat="1" applyFont="1" applyFill="1" applyBorder="1" applyAlignment="1">
      <alignment horizontal="center" vertical="center" wrapText="1" shrinkToFit="1"/>
    </xf>
    <xf numFmtId="0" fontId="34" fillId="33" borderId="6" xfId="0" applyFont="1" applyFill="1" applyBorder="1" applyAlignment="1">
      <alignment horizontal="left" wrapText="1"/>
    </xf>
    <xf numFmtId="0" fontId="34" fillId="0" borderId="0" xfId="0" applyFont="1" applyFill="1" applyAlignment="1">
      <alignment horizontal="left" wrapText="1"/>
    </xf>
    <xf numFmtId="0" fontId="34" fillId="0" borderId="6" xfId="0" applyFont="1" applyFill="1" applyBorder="1" applyAlignment="1">
      <alignment wrapText="1"/>
    </xf>
    <xf numFmtId="0" fontId="34" fillId="0" borderId="0" xfId="0" applyFont="1" applyFill="1" applyAlignment="1">
      <alignment horizontal="left" vertical="center" wrapText="1"/>
    </xf>
    <xf numFmtId="0" fontId="34" fillId="0" borderId="6" xfId="0" applyFont="1" applyFill="1" applyBorder="1" applyAlignment="1">
      <alignment vertical="center" wrapText="1"/>
    </xf>
  </cellXfs>
  <cellStyles count="88">
    <cellStyle name="20% - Accent1" xfId="19" builtinId="30" customBuiltin="1"/>
    <cellStyle name="20% - Accent1 2" xfId="65"/>
    <cellStyle name="20% - Accent2" xfId="23" builtinId="34" customBuiltin="1"/>
    <cellStyle name="20% - Accent2 2" xfId="67"/>
    <cellStyle name="20% - Accent3" xfId="27" builtinId="38" customBuiltin="1"/>
    <cellStyle name="20% - Accent3 2" xfId="69"/>
    <cellStyle name="20% - Accent4" xfId="31" builtinId="42" customBuiltin="1"/>
    <cellStyle name="20% - Accent4 2" xfId="71"/>
    <cellStyle name="20% - Accent5" xfId="35" builtinId="46" customBuiltin="1"/>
    <cellStyle name="20% - Accent5 2" xfId="73"/>
    <cellStyle name="20% - Accent6" xfId="39" builtinId="50" customBuiltin="1"/>
    <cellStyle name="20% - Accent6 2" xfId="75"/>
    <cellStyle name="40% - Accent1" xfId="20" builtinId="31" customBuiltin="1"/>
    <cellStyle name="40% - Accent1 2" xfId="66"/>
    <cellStyle name="40% - Accent2" xfId="24" builtinId="35" customBuiltin="1"/>
    <cellStyle name="40% - Accent2 2" xfId="68"/>
    <cellStyle name="40% - Accent3" xfId="28" builtinId="39" customBuiltin="1"/>
    <cellStyle name="40% - Accent3 2" xfId="70"/>
    <cellStyle name="40% - Accent4" xfId="32" builtinId="43" customBuiltin="1"/>
    <cellStyle name="40% - Accent4 2" xfId="72"/>
    <cellStyle name="40% - Accent5" xfId="36" builtinId="47" customBuiltin="1"/>
    <cellStyle name="40% - Accent5 2" xfId="74"/>
    <cellStyle name="40% - Accent6" xfId="40" builtinId="51" customBuiltin="1"/>
    <cellStyle name="40% - Accent6 2" xfId="76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77"/>
    <cellStyle name="Normal 13" xfId="51"/>
    <cellStyle name="Normal 14" xfId="52"/>
    <cellStyle name="Normal 15" xfId="53"/>
    <cellStyle name="Normal 2" xfId="45"/>
    <cellStyle name="Normal 2 2" xfId="46"/>
    <cellStyle name="Normal 2 2 2" xfId="62"/>
    <cellStyle name="Normal 2 2 2 2" xfId="82"/>
    <cellStyle name="Normal 2 2 3" xfId="79"/>
    <cellStyle name="Normal 2 3" xfId="54"/>
    <cellStyle name="Normal 2 3 2" xfId="81"/>
    <cellStyle name="Normal 2 4" xfId="60"/>
    <cellStyle name="Normal 2 5" xfId="78"/>
    <cellStyle name="Normal 20" xfId="55"/>
    <cellStyle name="Normal 21" xfId="56"/>
    <cellStyle name="Normal 23" xfId="57"/>
    <cellStyle name="Normal 24" xfId="58"/>
    <cellStyle name="Normal 25" xfId="50"/>
    <cellStyle name="Normal 3" xfId="1"/>
    <cellStyle name="Normal 3 2" xfId="47"/>
    <cellStyle name="Normal 3 2 2" xfId="80"/>
    <cellStyle name="Normal 3 3" xfId="48"/>
    <cellStyle name="Normal 4" xfId="63"/>
    <cellStyle name="Normal 5" xfId="59"/>
    <cellStyle name="Normal 5 2" xfId="83"/>
    <cellStyle name="Normal 6" xfId="84"/>
    <cellStyle name="Normal 7" xfId="85"/>
    <cellStyle name="Normal 8" xfId="86"/>
    <cellStyle name="Normal 9" xfId="87"/>
    <cellStyle name="Note" xfId="15" builtinId="10" customBuiltin="1"/>
    <cellStyle name="Note 2" xfId="61"/>
    <cellStyle name="Note 3" xfId="64"/>
    <cellStyle name="Output" xfId="10" builtinId="21" customBuiltin="1"/>
    <cellStyle name="Title 2" xfId="42"/>
    <cellStyle name="Total" xfId="17" builtinId="25" customBuiltin="1"/>
    <cellStyle name="Warning Text" xfId="14" builtinId="11" customBuiltin="1"/>
    <cellStyle name="標準 2 4" xfId="43"/>
    <cellStyle name="標準 27 2 2" xfId="44"/>
  </cellStyles>
  <dxfs count="0"/>
  <tableStyles count="0" defaultTableStyle="TableStyleMedium2" defaultPivotStyle="PivotStyleMedium9"/>
  <colors>
    <mruColors>
      <color rgb="FFFF00FF"/>
      <color rgb="FFFF66FF"/>
      <color rgb="FF00CC66"/>
      <color rgb="FFFFCC00"/>
      <color rgb="FF3366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5"/>
  <sheetViews>
    <sheetView tabSelected="1" view="pageBreakPreview" topLeftCell="A193" zoomScale="75" zoomScaleNormal="91" zoomScaleSheetLayoutView="75" workbookViewId="0">
      <selection activeCell="V191" sqref="V191"/>
    </sheetView>
  </sheetViews>
  <sheetFormatPr defaultColWidth="8.7109375" defaultRowHeight="15"/>
  <cols>
    <col min="1" max="1" width="6.5703125" style="9" bestFit="1" customWidth="1"/>
    <col min="2" max="2" width="66.5703125" style="4" bestFit="1" customWidth="1"/>
    <col min="3" max="3" width="71" style="4" hidden="1" customWidth="1"/>
    <col min="4" max="4" width="36.7109375" style="16" customWidth="1"/>
    <col min="5" max="5" width="48.28515625" style="9" customWidth="1"/>
    <col min="6" max="6" width="13.28515625" style="2" hidden="1" customWidth="1"/>
    <col min="7" max="7" width="10" style="2" hidden="1" customWidth="1"/>
    <col min="8" max="9" width="7.42578125" style="1" hidden="1" customWidth="1"/>
    <col min="10" max="10" width="8" style="1" hidden="1" customWidth="1"/>
    <col min="11" max="12" width="10" style="6" hidden="1" customWidth="1"/>
    <col min="13" max="14" width="15.140625" style="1" customWidth="1"/>
    <col min="15" max="15" width="17.5703125" style="1" customWidth="1"/>
    <col min="16" max="16" width="10" style="1" bestFit="1" customWidth="1"/>
    <col min="17" max="17" width="8.28515625" style="4" customWidth="1"/>
    <col min="18" max="18" width="20.85546875" style="4" customWidth="1"/>
    <col min="19" max="19" width="5" style="4" bestFit="1" customWidth="1"/>
    <col min="20" max="20" width="13.28515625" style="4" bestFit="1" customWidth="1"/>
    <col min="21" max="21" width="6.85546875" style="4" bestFit="1" customWidth="1"/>
    <col min="22" max="22" width="10.140625" style="4" bestFit="1" customWidth="1"/>
    <col min="23" max="16384" width="8.7109375" style="4"/>
  </cols>
  <sheetData>
    <row r="1" spans="1:17">
      <c r="A1" s="7" t="s">
        <v>14</v>
      </c>
      <c r="B1" s="7"/>
      <c r="C1" s="7"/>
      <c r="D1" s="13"/>
      <c r="E1" s="7"/>
      <c r="F1" s="10"/>
      <c r="G1" s="10"/>
      <c r="H1" s="10"/>
      <c r="I1" s="10"/>
      <c r="J1" s="10"/>
      <c r="K1" s="5"/>
      <c r="L1" s="5"/>
      <c r="M1" s="10"/>
      <c r="N1" s="10"/>
      <c r="O1" s="10"/>
      <c r="P1" s="10"/>
    </row>
    <row r="2" spans="1:17">
      <c r="A2" s="17" t="s">
        <v>0</v>
      </c>
      <c r="B2" s="17" t="s">
        <v>92</v>
      </c>
      <c r="C2" s="11"/>
      <c r="D2" s="14"/>
      <c r="E2" s="17" t="s">
        <v>13</v>
      </c>
      <c r="F2" s="19" t="s">
        <v>1</v>
      </c>
      <c r="G2" s="19" t="s">
        <v>2</v>
      </c>
      <c r="H2" s="21" t="s">
        <v>3</v>
      </c>
      <c r="I2" s="22"/>
      <c r="J2" s="23"/>
      <c r="K2" s="27" t="s">
        <v>4</v>
      </c>
      <c r="L2" s="27" t="s">
        <v>5</v>
      </c>
      <c r="M2" s="25" t="s">
        <v>10</v>
      </c>
      <c r="N2" s="29" t="s">
        <v>558</v>
      </c>
      <c r="O2" s="25" t="s">
        <v>11</v>
      </c>
      <c r="P2" s="25" t="s">
        <v>12</v>
      </c>
      <c r="Q2" s="24" t="s">
        <v>336</v>
      </c>
    </row>
    <row r="3" spans="1:17" ht="31.5" customHeight="1">
      <c r="A3" s="18"/>
      <c r="B3" s="18"/>
      <c r="C3" s="12" t="s">
        <v>546</v>
      </c>
      <c r="D3" s="15" t="s">
        <v>545</v>
      </c>
      <c r="E3" s="18"/>
      <c r="F3" s="20"/>
      <c r="G3" s="20"/>
      <c r="H3" s="3" t="s">
        <v>6</v>
      </c>
      <c r="I3" s="3" t="s">
        <v>7</v>
      </c>
      <c r="J3" s="3" t="s">
        <v>8</v>
      </c>
      <c r="K3" s="28"/>
      <c r="L3" s="28"/>
      <c r="M3" s="26"/>
      <c r="N3" s="29"/>
      <c r="O3" s="26"/>
      <c r="P3" s="26"/>
      <c r="Q3" s="24"/>
    </row>
    <row r="4" spans="1:17" s="30" customFormat="1" ht="51" customHeight="1">
      <c r="A4" s="35">
        <v>1</v>
      </c>
      <c r="B4" s="37" t="s">
        <v>21</v>
      </c>
      <c r="C4" s="38" t="s">
        <v>89</v>
      </c>
      <c r="D4" s="39" t="s">
        <v>547</v>
      </c>
      <c r="E4" s="40" t="s">
        <v>190</v>
      </c>
      <c r="F4" s="41">
        <v>1</v>
      </c>
      <c r="G4" s="41" t="s">
        <v>9</v>
      </c>
      <c r="H4" s="41">
        <v>468</v>
      </c>
      <c r="I4" s="41">
        <v>201</v>
      </c>
      <c r="J4" s="41">
        <v>125</v>
      </c>
      <c r="K4" s="42">
        <v>1790</v>
      </c>
      <c r="L4" s="43">
        <v>2340</v>
      </c>
      <c r="M4" s="41" t="s">
        <v>407</v>
      </c>
      <c r="N4" s="41">
        <v>280250</v>
      </c>
      <c r="O4" s="41" t="s">
        <v>394</v>
      </c>
      <c r="P4" s="41" t="s">
        <v>20</v>
      </c>
    </row>
    <row r="5" spans="1:17" s="30" customFormat="1" ht="51" customHeight="1">
      <c r="A5" s="35">
        <v>2</v>
      </c>
      <c r="B5" s="37" t="s">
        <v>22</v>
      </c>
      <c r="C5" s="38" t="s">
        <v>89</v>
      </c>
      <c r="D5" s="44"/>
      <c r="E5" s="40" t="s">
        <v>191</v>
      </c>
      <c r="F5" s="45">
        <v>1</v>
      </c>
      <c r="G5" s="45" t="s">
        <v>9</v>
      </c>
      <c r="H5" s="41">
        <v>468</v>
      </c>
      <c r="I5" s="41">
        <v>201</v>
      </c>
      <c r="J5" s="41">
        <v>125</v>
      </c>
      <c r="K5" s="42">
        <v>1790</v>
      </c>
      <c r="L5" s="43">
        <v>2340</v>
      </c>
      <c r="M5" s="41" t="s">
        <v>407</v>
      </c>
      <c r="N5" s="41">
        <v>280250</v>
      </c>
      <c r="O5" s="41" t="s">
        <v>394</v>
      </c>
      <c r="P5" s="41" t="s">
        <v>20</v>
      </c>
    </row>
    <row r="6" spans="1:17" s="30" customFormat="1" ht="51" customHeight="1">
      <c r="A6" s="35">
        <v>3</v>
      </c>
      <c r="B6" s="37" t="s">
        <v>23</v>
      </c>
      <c r="C6" s="38" t="s">
        <v>89</v>
      </c>
      <c r="D6" s="44"/>
      <c r="E6" s="40" t="s">
        <v>192</v>
      </c>
      <c r="F6" s="45">
        <v>1</v>
      </c>
      <c r="G6" s="45" t="s">
        <v>9</v>
      </c>
      <c r="H6" s="41">
        <v>468</v>
      </c>
      <c r="I6" s="41">
        <v>201</v>
      </c>
      <c r="J6" s="41">
        <v>125</v>
      </c>
      <c r="K6" s="42">
        <v>1790</v>
      </c>
      <c r="L6" s="43">
        <v>2340</v>
      </c>
      <c r="M6" s="41" t="s">
        <v>405</v>
      </c>
      <c r="N6" s="41">
        <v>280268</v>
      </c>
      <c r="O6" s="41" t="s">
        <v>400</v>
      </c>
      <c r="P6" s="41" t="s">
        <v>96</v>
      </c>
    </row>
    <row r="7" spans="1:17" s="30" customFormat="1" ht="51" customHeight="1">
      <c r="A7" s="35">
        <v>4</v>
      </c>
      <c r="B7" s="46" t="s">
        <v>34</v>
      </c>
      <c r="C7" s="38" t="s">
        <v>89</v>
      </c>
      <c r="D7" s="44"/>
      <c r="E7" s="40" t="s">
        <v>193</v>
      </c>
      <c r="F7" s="45">
        <v>1</v>
      </c>
      <c r="G7" s="45" t="s">
        <v>9</v>
      </c>
      <c r="H7" s="47">
        <v>350</v>
      </c>
      <c r="I7" s="47">
        <v>160</v>
      </c>
      <c r="J7" s="47">
        <v>193</v>
      </c>
      <c r="K7" s="43">
        <v>1000</v>
      </c>
      <c r="L7" s="43">
        <v>1465</v>
      </c>
      <c r="M7" s="41" t="s">
        <v>426</v>
      </c>
      <c r="N7" s="41">
        <v>280296</v>
      </c>
      <c r="O7" s="41" t="s">
        <v>425</v>
      </c>
      <c r="P7" s="41" t="s">
        <v>20</v>
      </c>
      <c r="Q7" s="30" t="s">
        <v>93</v>
      </c>
    </row>
    <row r="8" spans="1:17" s="30" customFormat="1" ht="51" customHeight="1">
      <c r="A8" s="35">
        <v>5</v>
      </c>
      <c r="B8" s="46" t="s">
        <v>35</v>
      </c>
      <c r="C8" s="38" t="s">
        <v>89</v>
      </c>
      <c r="D8" s="48"/>
      <c r="E8" s="40" t="s">
        <v>194</v>
      </c>
      <c r="F8" s="45">
        <v>1</v>
      </c>
      <c r="G8" s="45" t="s">
        <v>9</v>
      </c>
      <c r="H8" s="47">
        <v>420</v>
      </c>
      <c r="I8" s="47">
        <v>194</v>
      </c>
      <c r="J8" s="47">
        <v>298</v>
      </c>
      <c r="K8" s="43">
        <v>1350</v>
      </c>
      <c r="L8" s="43">
        <v>1890</v>
      </c>
      <c r="M8" s="41" t="s">
        <v>406</v>
      </c>
      <c r="N8" s="41">
        <v>280270</v>
      </c>
      <c r="O8" s="41" t="s">
        <v>400</v>
      </c>
      <c r="P8" s="41" t="s">
        <v>17</v>
      </c>
      <c r="Q8" s="30" t="s">
        <v>94</v>
      </c>
    </row>
    <row r="9" spans="1:17" s="30" customFormat="1" ht="51" customHeight="1">
      <c r="A9" s="35">
        <v>6</v>
      </c>
      <c r="B9" s="37" t="s">
        <v>26</v>
      </c>
      <c r="C9" s="38" t="s">
        <v>86</v>
      </c>
      <c r="D9" s="49" t="s">
        <v>548</v>
      </c>
      <c r="E9" s="40" t="s">
        <v>195</v>
      </c>
      <c r="F9" s="45">
        <v>1</v>
      </c>
      <c r="G9" s="45" t="s">
        <v>9</v>
      </c>
      <c r="H9" s="41">
        <v>468</v>
      </c>
      <c r="I9" s="41">
        <v>201</v>
      </c>
      <c r="J9" s="41">
        <v>126</v>
      </c>
      <c r="K9" s="42">
        <v>1790</v>
      </c>
      <c r="L9" s="43">
        <v>2350</v>
      </c>
      <c r="M9" s="41" t="s">
        <v>395</v>
      </c>
      <c r="N9" s="41">
        <v>280260</v>
      </c>
      <c r="O9" s="41" t="s">
        <v>394</v>
      </c>
      <c r="P9" s="41" t="s">
        <v>96</v>
      </c>
    </row>
    <row r="10" spans="1:17" s="30" customFormat="1" ht="51" customHeight="1">
      <c r="A10" s="35">
        <v>7</v>
      </c>
      <c r="B10" s="37" t="s">
        <v>27</v>
      </c>
      <c r="C10" s="38" t="s">
        <v>86</v>
      </c>
      <c r="D10" s="50"/>
      <c r="E10" s="40" t="s">
        <v>196</v>
      </c>
      <c r="F10" s="45">
        <v>1</v>
      </c>
      <c r="G10" s="45" t="s">
        <v>9</v>
      </c>
      <c r="H10" s="41">
        <v>468</v>
      </c>
      <c r="I10" s="41">
        <v>201</v>
      </c>
      <c r="J10" s="41">
        <v>125</v>
      </c>
      <c r="K10" s="42">
        <v>1790</v>
      </c>
      <c r="L10" s="43">
        <v>2340</v>
      </c>
      <c r="M10" s="41" t="s">
        <v>395</v>
      </c>
      <c r="N10" s="41">
        <v>280260</v>
      </c>
      <c r="O10" s="41" t="s">
        <v>394</v>
      </c>
      <c r="P10" s="41" t="s">
        <v>97</v>
      </c>
    </row>
    <row r="11" spans="1:17" s="30" customFormat="1" ht="51" customHeight="1">
      <c r="A11" s="35">
        <v>8</v>
      </c>
      <c r="B11" s="37" t="s">
        <v>28</v>
      </c>
      <c r="C11" s="38" t="s">
        <v>86</v>
      </c>
      <c r="D11" s="50"/>
      <c r="E11" s="40" t="s">
        <v>197</v>
      </c>
      <c r="F11" s="45">
        <v>1</v>
      </c>
      <c r="G11" s="45" t="s">
        <v>9</v>
      </c>
      <c r="H11" s="41">
        <v>468</v>
      </c>
      <c r="I11" s="41">
        <v>201</v>
      </c>
      <c r="J11" s="41">
        <v>125</v>
      </c>
      <c r="K11" s="42">
        <v>1790</v>
      </c>
      <c r="L11" s="42">
        <v>2340</v>
      </c>
      <c r="M11" s="41" t="s">
        <v>404</v>
      </c>
      <c r="N11" s="41">
        <v>280269</v>
      </c>
      <c r="O11" s="41" t="s">
        <v>400</v>
      </c>
      <c r="P11" s="41" t="s">
        <v>97</v>
      </c>
    </row>
    <row r="12" spans="1:17" s="30" customFormat="1" ht="51" customHeight="1">
      <c r="A12" s="35">
        <v>9</v>
      </c>
      <c r="B12" s="46" t="s">
        <v>29</v>
      </c>
      <c r="C12" s="38" t="s">
        <v>86</v>
      </c>
      <c r="D12" s="50"/>
      <c r="E12" s="40" t="s">
        <v>198</v>
      </c>
      <c r="F12" s="45">
        <v>1</v>
      </c>
      <c r="G12" s="45" t="s">
        <v>9</v>
      </c>
      <c r="H12" s="41">
        <v>322</v>
      </c>
      <c r="I12" s="47">
        <v>202</v>
      </c>
      <c r="J12" s="47">
        <v>181</v>
      </c>
      <c r="K12" s="43">
        <v>1060</v>
      </c>
      <c r="L12" s="43">
        <v>1545</v>
      </c>
      <c r="M12" s="41" t="s">
        <v>411</v>
      </c>
      <c r="N12" s="41">
        <v>280274</v>
      </c>
      <c r="O12" s="41" t="s">
        <v>408</v>
      </c>
      <c r="P12" s="41" t="s">
        <v>93</v>
      </c>
      <c r="Q12" s="30" t="s">
        <v>95</v>
      </c>
    </row>
    <row r="13" spans="1:17" s="30" customFormat="1" ht="51" customHeight="1">
      <c r="A13" s="35">
        <v>10</v>
      </c>
      <c r="B13" s="46" t="s">
        <v>30</v>
      </c>
      <c r="C13" s="38" t="s">
        <v>86</v>
      </c>
      <c r="D13" s="51"/>
      <c r="E13" s="40" t="s">
        <v>199</v>
      </c>
      <c r="F13" s="45">
        <v>1</v>
      </c>
      <c r="G13" s="45" t="s">
        <v>9</v>
      </c>
      <c r="H13" s="41">
        <v>322</v>
      </c>
      <c r="I13" s="47">
        <v>202</v>
      </c>
      <c r="J13" s="47">
        <v>190</v>
      </c>
      <c r="K13" s="43">
        <v>1100</v>
      </c>
      <c r="L13" s="43">
        <v>1570</v>
      </c>
      <c r="M13" s="41" t="s">
        <v>411</v>
      </c>
      <c r="N13" s="41">
        <v>280274</v>
      </c>
      <c r="O13" s="41" t="s">
        <v>408</v>
      </c>
      <c r="P13" s="41" t="s">
        <v>93</v>
      </c>
      <c r="Q13" s="30" t="s">
        <v>95</v>
      </c>
    </row>
    <row r="14" spans="1:17" s="30" customFormat="1" ht="51" customHeight="1">
      <c r="A14" s="35">
        <v>11</v>
      </c>
      <c r="B14" s="37" t="s">
        <v>31</v>
      </c>
      <c r="C14" s="38" t="s">
        <v>71</v>
      </c>
      <c r="D14" s="52" t="s">
        <v>549</v>
      </c>
      <c r="E14" s="40" t="s">
        <v>200</v>
      </c>
      <c r="F14" s="45">
        <v>1</v>
      </c>
      <c r="G14" s="45" t="s">
        <v>9</v>
      </c>
      <c r="H14" s="41">
        <v>468</v>
      </c>
      <c r="I14" s="41">
        <v>201</v>
      </c>
      <c r="J14" s="41">
        <v>125</v>
      </c>
      <c r="K14" s="42">
        <v>1790</v>
      </c>
      <c r="L14" s="42">
        <v>2340</v>
      </c>
      <c r="M14" s="41" t="s">
        <v>396</v>
      </c>
      <c r="N14" s="41">
        <v>280261</v>
      </c>
      <c r="O14" s="41" t="s">
        <v>394</v>
      </c>
      <c r="P14" s="41" t="s">
        <v>98</v>
      </c>
    </row>
    <row r="15" spans="1:17" s="30" customFormat="1" ht="51" customHeight="1">
      <c r="A15" s="35">
        <v>12</v>
      </c>
      <c r="B15" s="37" t="s">
        <v>32</v>
      </c>
      <c r="C15" s="38" t="s">
        <v>71</v>
      </c>
      <c r="D15" s="53"/>
      <c r="E15" s="40" t="s">
        <v>201</v>
      </c>
      <c r="F15" s="45">
        <v>1</v>
      </c>
      <c r="G15" s="45" t="s">
        <v>9</v>
      </c>
      <c r="H15" s="41">
        <v>468</v>
      </c>
      <c r="I15" s="41">
        <v>201</v>
      </c>
      <c r="J15" s="41">
        <v>125</v>
      </c>
      <c r="K15" s="42">
        <v>1790</v>
      </c>
      <c r="L15" s="42">
        <v>2340</v>
      </c>
      <c r="M15" s="41" t="s">
        <v>396</v>
      </c>
      <c r="N15" s="41">
        <v>280261</v>
      </c>
      <c r="O15" s="41" t="s">
        <v>394</v>
      </c>
      <c r="P15" s="41" t="s">
        <v>98</v>
      </c>
    </row>
    <row r="16" spans="1:17" s="30" customFormat="1" ht="51" customHeight="1">
      <c r="A16" s="35">
        <v>13</v>
      </c>
      <c r="B16" s="37" t="s">
        <v>33</v>
      </c>
      <c r="C16" s="38" t="s">
        <v>71</v>
      </c>
      <c r="D16" s="53"/>
      <c r="E16" s="40" t="s">
        <v>202</v>
      </c>
      <c r="F16" s="45">
        <v>1</v>
      </c>
      <c r="G16" s="45" t="s">
        <v>9</v>
      </c>
      <c r="H16" s="41">
        <v>468</v>
      </c>
      <c r="I16" s="41">
        <v>201</v>
      </c>
      <c r="J16" s="41">
        <v>125</v>
      </c>
      <c r="K16" s="42">
        <v>1790</v>
      </c>
      <c r="L16" s="42">
        <v>2340</v>
      </c>
      <c r="M16" s="41" t="s">
        <v>405</v>
      </c>
      <c r="N16" s="41">
        <v>280268</v>
      </c>
      <c r="O16" s="41" t="s">
        <v>400</v>
      </c>
      <c r="P16" s="41" t="s">
        <v>106</v>
      </c>
    </row>
    <row r="17" spans="1:17" s="30" customFormat="1" ht="51" customHeight="1">
      <c r="A17" s="35">
        <v>14</v>
      </c>
      <c r="B17" s="46" t="s">
        <v>24</v>
      </c>
      <c r="C17" s="38" t="s">
        <v>71</v>
      </c>
      <c r="D17" s="53"/>
      <c r="E17" s="40" t="s">
        <v>203</v>
      </c>
      <c r="F17" s="45">
        <v>1</v>
      </c>
      <c r="G17" s="45" t="s">
        <v>9</v>
      </c>
      <c r="H17" s="47">
        <v>350</v>
      </c>
      <c r="I17" s="47">
        <v>160</v>
      </c>
      <c r="J17" s="47">
        <v>193</v>
      </c>
      <c r="K17" s="43">
        <v>1000</v>
      </c>
      <c r="L17" s="43">
        <v>1465</v>
      </c>
      <c r="M17" s="41" t="s">
        <v>426</v>
      </c>
      <c r="N17" s="41">
        <v>280296</v>
      </c>
      <c r="O17" s="41" t="s">
        <v>425</v>
      </c>
      <c r="P17" s="41" t="s">
        <v>20</v>
      </c>
      <c r="Q17" s="30" t="s">
        <v>93</v>
      </c>
    </row>
    <row r="18" spans="1:17" s="30" customFormat="1" ht="51" customHeight="1">
      <c r="A18" s="35">
        <v>15</v>
      </c>
      <c r="B18" s="46" t="s">
        <v>25</v>
      </c>
      <c r="C18" s="38" t="s">
        <v>71</v>
      </c>
      <c r="D18" s="53"/>
      <c r="E18" s="40" t="s">
        <v>204</v>
      </c>
      <c r="F18" s="45">
        <v>1</v>
      </c>
      <c r="G18" s="45" t="s">
        <v>9</v>
      </c>
      <c r="H18" s="47">
        <v>312</v>
      </c>
      <c r="I18" s="47">
        <v>194</v>
      </c>
      <c r="J18" s="47">
        <v>244</v>
      </c>
      <c r="K18" s="43">
        <v>1460</v>
      </c>
      <c r="L18" s="43">
        <v>1750</v>
      </c>
      <c r="M18" s="41" t="s">
        <v>415</v>
      </c>
      <c r="N18" s="41">
        <v>280277</v>
      </c>
      <c r="O18" s="41" t="s">
        <v>408</v>
      </c>
      <c r="P18" s="41" t="s">
        <v>95</v>
      </c>
      <c r="Q18" s="30" t="s">
        <v>104</v>
      </c>
    </row>
    <row r="19" spans="1:17" s="30" customFormat="1" ht="51" customHeight="1">
      <c r="A19" s="35">
        <v>16</v>
      </c>
      <c r="B19" s="46" t="s">
        <v>36</v>
      </c>
      <c r="C19" s="38" t="s">
        <v>71</v>
      </c>
      <c r="D19" s="54"/>
      <c r="E19" s="40" t="s">
        <v>205</v>
      </c>
      <c r="F19" s="45">
        <v>1</v>
      </c>
      <c r="G19" s="45" t="s">
        <v>9</v>
      </c>
      <c r="H19" s="47">
        <v>330</v>
      </c>
      <c r="I19" s="47">
        <v>164</v>
      </c>
      <c r="J19" s="47">
        <v>192</v>
      </c>
      <c r="K19" s="43">
        <v>1265</v>
      </c>
      <c r="L19" s="43">
        <v>1440</v>
      </c>
      <c r="M19" s="41" t="s">
        <v>415</v>
      </c>
      <c r="N19" s="41">
        <v>280277</v>
      </c>
      <c r="O19" s="41" t="s">
        <v>408</v>
      </c>
      <c r="P19" s="41" t="s">
        <v>95</v>
      </c>
      <c r="Q19" s="30" t="s">
        <v>104</v>
      </c>
    </row>
    <row r="20" spans="1:17" s="30" customFormat="1" ht="51" customHeight="1">
      <c r="A20" s="35">
        <v>17</v>
      </c>
      <c r="B20" s="46" t="s">
        <v>72</v>
      </c>
      <c r="C20" s="38" t="s">
        <v>74</v>
      </c>
      <c r="D20" s="39" t="s">
        <v>547</v>
      </c>
      <c r="E20" s="40" t="s">
        <v>206</v>
      </c>
      <c r="F20" s="45">
        <v>1</v>
      </c>
      <c r="G20" s="45" t="s">
        <v>9</v>
      </c>
      <c r="H20" s="47">
        <v>310</v>
      </c>
      <c r="I20" s="47">
        <v>250</v>
      </c>
      <c r="J20" s="47">
        <v>168</v>
      </c>
      <c r="K20" s="43">
        <v>1520</v>
      </c>
      <c r="L20" s="43">
        <v>2060</v>
      </c>
      <c r="M20" s="41" t="s">
        <v>415</v>
      </c>
      <c r="N20" s="41">
        <v>280278</v>
      </c>
      <c r="O20" s="41" t="s">
        <v>408</v>
      </c>
      <c r="P20" s="41" t="s">
        <v>95</v>
      </c>
      <c r="Q20" s="30" t="s">
        <v>104</v>
      </c>
    </row>
    <row r="21" spans="1:17" s="30" customFormat="1" ht="51" customHeight="1">
      <c r="A21" s="35">
        <v>18</v>
      </c>
      <c r="B21" s="46" t="s">
        <v>73</v>
      </c>
      <c r="C21" s="38" t="s">
        <v>74</v>
      </c>
      <c r="D21" s="48"/>
      <c r="E21" s="40" t="s">
        <v>207</v>
      </c>
      <c r="F21" s="45">
        <v>1</v>
      </c>
      <c r="G21" s="45" t="s">
        <v>9</v>
      </c>
      <c r="H21" s="47">
        <v>331</v>
      </c>
      <c r="I21" s="47">
        <v>154</v>
      </c>
      <c r="J21" s="47">
        <v>205</v>
      </c>
      <c r="K21" s="43">
        <v>1350</v>
      </c>
      <c r="L21" s="43">
        <v>1925</v>
      </c>
      <c r="M21" s="41" t="s">
        <v>412</v>
      </c>
      <c r="N21" s="41">
        <v>280276</v>
      </c>
      <c r="O21" s="41" t="s">
        <v>408</v>
      </c>
      <c r="P21" s="41" t="s">
        <v>18</v>
      </c>
      <c r="Q21" s="30" t="s">
        <v>105</v>
      </c>
    </row>
    <row r="22" spans="1:17" s="30" customFormat="1" ht="51" customHeight="1">
      <c r="A22" s="35">
        <v>19</v>
      </c>
      <c r="B22" s="40" t="s">
        <v>37</v>
      </c>
      <c r="C22" s="55" t="s">
        <v>90</v>
      </c>
      <c r="D22" s="56" t="s">
        <v>547</v>
      </c>
      <c r="E22" s="40" t="s">
        <v>208</v>
      </c>
      <c r="F22" s="45">
        <v>1</v>
      </c>
      <c r="G22" s="45" t="s">
        <v>9</v>
      </c>
      <c r="H22" s="41">
        <v>468</v>
      </c>
      <c r="I22" s="41">
        <v>201</v>
      </c>
      <c r="J22" s="41">
        <v>127</v>
      </c>
      <c r="K22" s="42">
        <v>1790</v>
      </c>
      <c r="L22" s="42">
        <v>2350</v>
      </c>
      <c r="M22" s="41" t="s">
        <v>559</v>
      </c>
      <c r="N22" s="41">
        <v>281006</v>
      </c>
      <c r="O22" s="57">
        <v>45382</v>
      </c>
      <c r="P22" s="41" t="s">
        <v>20</v>
      </c>
    </row>
    <row r="23" spans="1:17" s="30" customFormat="1" ht="51" customHeight="1">
      <c r="A23" s="35">
        <v>20</v>
      </c>
      <c r="B23" s="40" t="s">
        <v>38</v>
      </c>
      <c r="C23" s="55" t="s">
        <v>90</v>
      </c>
      <c r="D23" s="58"/>
      <c r="E23" s="40" t="s">
        <v>209</v>
      </c>
      <c r="F23" s="45">
        <v>1</v>
      </c>
      <c r="G23" s="45" t="s">
        <v>9</v>
      </c>
      <c r="H23" s="41">
        <v>468</v>
      </c>
      <c r="I23" s="41">
        <v>201</v>
      </c>
      <c r="J23" s="41">
        <v>127</v>
      </c>
      <c r="K23" s="42">
        <v>1790</v>
      </c>
      <c r="L23" s="42">
        <v>2350</v>
      </c>
      <c r="M23" s="41" t="s">
        <v>560</v>
      </c>
      <c r="N23" s="41">
        <v>281007</v>
      </c>
      <c r="O23" s="57">
        <v>45382</v>
      </c>
      <c r="P23" s="41" t="s">
        <v>561</v>
      </c>
    </row>
    <row r="24" spans="1:17" s="30" customFormat="1" ht="51" customHeight="1">
      <c r="A24" s="35">
        <v>21</v>
      </c>
      <c r="B24" s="40" t="s">
        <v>39</v>
      </c>
      <c r="C24" s="55" t="s">
        <v>90</v>
      </c>
      <c r="D24" s="58"/>
      <c r="E24" s="40" t="s">
        <v>210</v>
      </c>
      <c r="F24" s="45">
        <v>1</v>
      </c>
      <c r="G24" s="45" t="s">
        <v>9</v>
      </c>
      <c r="H24" s="41">
        <v>468</v>
      </c>
      <c r="I24" s="41">
        <v>201</v>
      </c>
      <c r="J24" s="41">
        <v>127</v>
      </c>
      <c r="K24" s="42">
        <v>1790</v>
      </c>
      <c r="L24" s="42">
        <v>2350</v>
      </c>
      <c r="M24" s="41" t="s">
        <v>559</v>
      </c>
      <c r="N24" s="41">
        <v>281006</v>
      </c>
      <c r="O24" s="57">
        <v>45382</v>
      </c>
      <c r="P24" s="41" t="s">
        <v>20</v>
      </c>
    </row>
    <row r="25" spans="1:17" s="30" customFormat="1" ht="51" customHeight="1">
      <c r="A25" s="35">
        <v>22</v>
      </c>
      <c r="B25" s="59" t="s">
        <v>50</v>
      </c>
      <c r="C25" s="55" t="s">
        <v>90</v>
      </c>
      <c r="D25" s="58"/>
      <c r="E25" s="40" t="s">
        <v>211</v>
      </c>
      <c r="F25" s="45">
        <v>1</v>
      </c>
      <c r="G25" s="45" t="s">
        <v>9</v>
      </c>
      <c r="H25" s="41">
        <v>357</v>
      </c>
      <c r="I25" s="41">
        <v>163</v>
      </c>
      <c r="J25" s="41">
        <v>190</v>
      </c>
      <c r="K25" s="42">
        <v>850</v>
      </c>
      <c r="L25" s="42">
        <v>1500</v>
      </c>
      <c r="M25" s="41" t="s">
        <v>455</v>
      </c>
      <c r="N25" s="41">
        <v>281008</v>
      </c>
      <c r="O25" s="57">
        <v>45383</v>
      </c>
      <c r="P25" s="41" t="s">
        <v>15</v>
      </c>
    </row>
    <row r="26" spans="1:17" s="30" customFormat="1" ht="51" customHeight="1">
      <c r="A26" s="35">
        <v>23</v>
      </c>
      <c r="B26" s="59" t="s">
        <v>51</v>
      </c>
      <c r="C26" s="55" t="s">
        <v>90</v>
      </c>
      <c r="D26" s="60"/>
      <c r="E26" s="40" t="s">
        <v>212</v>
      </c>
      <c r="F26" s="45">
        <v>1</v>
      </c>
      <c r="G26" s="45" t="s">
        <v>9</v>
      </c>
      <c r="H26" s="41">
        <v>342</v>
      </c>
      <c r="I26" s="41">
        <v>192</v>
      </c>
      <c r="J26" s="41">
        <v>295</v>
      </c>
      <c r="K26" s="42">
        <v>980</v>
      </c>
      <c r="L26" s="42">
        <v>1865</v>
      </c>
      <c r="M26" s="41" t="s">
        <v>562</v>
      </c>
      <c r="N26" s="41">
        <v>281013</v>
      </c>
      <c r="O26" s="57">
        <v>45384</v>
      </c>
      <c r="P26" s="41" t="s">
        <v>17</v>
      </c>
    </row>
    <row r="27" spans="1:17" s="30" customFormat="1" ht="51" customHeight="1">
      <c r="A27" s="35">
        <v>24</v>
      </c>
      <c r="B27" s="37" t="s">
        <v>42</v>
      </c>
      <c r="C27" s="38" t="s">
        <v>87</v>
      </c>
      <c r="D27" s="49" t="s">
        <v>548</v>
      </c>
      <c r="E27" s="40" t="s">
        <v>213</v>
      </c>
      <c r="F27" s="45">
        <v>1</v>
      </c>
      <c r="G27" s="45" t="s">
        <v>9</v>
      </c>
      <c r="H27" s="41">
        <v>468</v>
      </c>
      <c r="I27" s="41">
        <v>201</v>
      </c>
      <c r="J27" s="41">
        <v>125</v>
      </c>
      <c r="K27" s="42">
        <v>1790</v>
      </c>
      <c r="L27" s="42">
        <v>2340</v>
      </c>
      <c r="M27" s="41" t="s">
        <v>398</v>
      </c>
      <c r="N27" s="41">
        <v>280262</v>
      </c>
      <c r="O27" s="41" t="s">
        <v>394</v>
      </c>
      <c r="P27" s="41" t="s">
        <v>99</v>
      </c>
    </row>
    <row r="28" spans="1:17" s="30" customFormat="1" ht="51" customHeight="1">
      <c r="A28" s="35">
        <v>25</v>
      </c>
      <c r="B28" s="37" t="s">
        <v>43</v>
      </c>
      <c r="C28" s="38" t="s">
        <v>87</v>
      </c>
      <c r="D28" s="50"/>
      <c r="E28" s="40" t="s">
        <v>214</v>
      </c>
      <c r="F28" s="45">
        <v>1</v>
      </c>
      <c r="G28" s="45" t="s">
        <v>9</v>
      </c>
      <c r="H28" s="41">
        <v>468</v>
      </c>
      <c r="I28" s="41">
        <v>201</v>
      </c>
      <c r="J28" s="41">
        <v>125</v>
      </c>
      <c r="K28" s="42">
        <v>1790</v>
      </c>
      <c r="L28" s="42">
        <v>2340</v>
      </c>
      <c r="M28" s="41" t="s">
        <v>398</v>
      </c>
      <c r="N28" s="41">
        <v>280262</v>
      </c>
      <c r="O28" s="41" t="s">
        <v>394</v>
      </c>
      <c r="P28" s="41" t="s">
        <v>99</v>
      </c>
    </row>
    <row r="29" spans="1:17" s="30" customFormat="1" ht="51" customHeight="1">
      <c r="A29" s="35">
        <v>26</v>
      </c>
      <c r="B29" s="37" t="s">
        <v>44</v>
      </c>
      <c r="C29" s="38" t="s">
        <v>87</v>
      </c>
      <c r="D29" s="50"/>
      <c r="E29" s="40" t="s">
        <v>215</v>
      </c>
      <c r="F29" s="45">
        <v>1</v>
      </c>
      <c r="G29" s="45" t="s">
        <v>9</v>
      </c>
      <c r="H29" s="41">
        <v>468</v>
      </c>
      <c r="I29" s="41">
        <v>201</v>
      </c>
      <c r="J29" s="41">
        <v>125</v>
      </c>
      <c r="K29" s="42">
        <v>1790</v>
      </c>
      <c r="L29" s="42">
        <v>2340</v>
      </c>
      <c r="M29" s="41" t="s">
        <v>404</v>
      </c>
      <c r="N29" s="41">
        <v>280269</v>
      </c>
      <c r="O29" s="41" t="s">
        <v>400</v>
      </c>
      <c r="P29" s="41" t="s">
        <v>100</v>
      </c>
    </row>
    <row r="30" spans="1:17" s="30" customFormat="1" ht="51" customHeight="1">
      <c r="A30" s="35">
        <v>27</v>
      </c>
      <c r="B30" s="46" t="s">
        <v>45</v>
      </c>
      <c r="C30" s="38" t="s">
        <v>87</v>
      </c>
      <c r="D30" s="50"/>
      <c r="E30" s="40" t="s">
        <v>216</v>
      </c>
      <c r="F30" s="45">
        <v>1</v>
      </c>
      <c r="G30" s="45" t="s">
        <v>9</v>
      </c>
      <c r="H30" s="41">
        <v>322</v>
      </c>
      <c r="I30" s="47">
        <v>204</v>
      </c>
      <c r="J30" s="47">
        <v>182</v>
      </c>
      <c r="K30" s="43">
        <v>1070</v>
      </c>
      <c r="L30" s="43">
        <v>1540</v>
      </c>
      <c r="M30" s="41" t="s">
        <v>411</v>
      </c>
      <c r="N30" s="41">
        <v>280274</v>
      </c>
      <c r="O30" s="41" t="s">
        <v>408</v>
      </c>
      <c r="P30" s="41" t="s">
        <v>93</v>
      </c>
      <c r="Q30" s="30" t="s">
        <v>95</v>
      </c>
    </row>
    <row r="31" spans="1:17" s="30" customFormat="1" ht="51" customHeight="1">
      <c r="A31" s="35">
        <v>28</v>
      </c>
      <c r="B31" s="46" t="s">
        <v>46</v>
      </c>
      <c r="C31" s="38" t="s">
        <v>87</v>
      </c>
      <c r="D31" s="51"/>
      <c r="E31" s="40" t="s">
        <v>217</v>
      </c>
      <c r="F31" s="45">
        <v>1</v>
      </c>
      <c r="G31" s="45" t="s">
        <v>9</v>
      </c>
      <c r="H31" s="41">
        <v>322</v>
      </c>
      <c r="I31" s="47">
        <v>202</v>
      </c>
      <c r="J31" s="47">
        <v>187</v>
      </c>
      <c r="K31" s="43">
        <v>1070</v>
      </c>
      <c r="L31" s="43">
        <v>1570</v>
      </c>
      <c r="M31" s="41" t="s">
        <v>419</v>
      </c>
      <c r="N31" s="41">
        <v>280289</v>
      </c>
      <c r="O31" s="41" t="s">
        <v>408</v>
      </c>
      <c r="P31" s="41" t="s">
        <v>94</v>
      </c>
      <c r="Q31" s="30" t="s">
        <v>103</v>
      </c>
    </row>
    <row r="32" spans="1:17" s="30" customFormat="1" ht="51" customHeight="1">
      <c r="A32" s="35">
        <v>29</v>
      </c>
      <c r="B32" s="37" t="s">
        <v>47</v>
      </c>
      <c r="C32" s="38" t="s">
        <v>88</v>
      </c>
      <c r="D32" s="61" t="s">
        <v>550</v>
      </c>
      <c r="E32" s="40" t="s">
        <v>218</v>
      </c>
      <c r="F32" s="45">
        <v>1</v>
      </c>
      <c r="G32" s="45" t="s">
        <v>9</v>
      </c>
      <c r="H32" s="41">
        <v>468</v>
      </c>
      <c r="I32" s="41">
        <v>201</v>
      </c>
      <c r="J32" s="41">
        <v>125</v>
      </c>
      <c r="K32" s="42">
        <v>1790</v>
      </c>
      <c r="L32" s="42">
        <v>2340</v>
      </c>
      <c r="M32" s="41" t="s">
        <v>397</v>
      </c>
      <c r="N32" s="41">
        <v>280263</v>
      </c>
      <c r="O32" s="41" t="s">
        <v>394</v>
      </c>
      <c r="P32" s="41" t="s">
        <v>100</v>
      </c>
    </row>
    <row r="33" spans="1:17" s="30" customFormat="1" ht="51" customHeight="1">
      <c r="A33" s="35">
        <v>30</v>
      </c>
      <c r="B33" s="37" t="s">
        <v>48</v>
      </c>
      <c r="C33" s="38" t="s">
        <v>88</v>
      </c>
      <c r="D33" s="62"/>
      <c r="E33" s="40" t="s">
        <v>219</v>
      </c>
      <c r="F33" s="45">
        <v>1</v>
      </c>
      <c r="G33" s="45" t="s">
        <v>9</v>
      </c>
      <c r="H33" s="41">
        <v>468</v>
      </c>
      <c r="I33" s="41">
        <v>201</v>
      </c>
      <c r="J33" s="41">
        <v>125</v>
      </c>
      <c r="K33" s="42">
        <v>1790</v>
      </c>
      <c r="L33" s="42">
        <v>2340</v>
      </c>
      <c r="M33" s="41" t="s">
        <v>397</v>
      </c>
      <c r="N33" s="41">
        <v>280263</v>
      </c>
      <c r="O33" s="41" t="s">
        <v>394</v>
      </c>
      <c r="P33" s="41" t="s">
        <v>101</v>
      </c>
    </row>
    <row r="34" spans="1:17" s="30" customFormat="1" ht="51" customHeight="1">
      <c r="A34" s="35">
        <v>31</v>
      </c>
      <c r="B34" s="37" t="s">
        <v>49</v>
      </c>
      <c r="C34" s="38" t="s">
        <v>88</v>
      </c>
      <c r="D34" s="62"/>
      <c r="E34" s="40" t="s">
        <v>220</v>
      </c>
      <c r="F34" s="45">
        <v>1</v>
      </c>
      <c r="G34" s="45" t="s">
        <v>9</v>
      </c>
      <c r="H34" s="41">
        <v>468</v>
      </c>
      <c r="I34" s="41">
        <v>201</v>
      </c>
      <c r="J34" s="41">
        <v>125</v>
      </c>
      <c r="K34" s="42">
        <v>1790</v>
      </c>
      <c r="L34" s="42">
        <v>2340</v>
      </c>
      <c r="M34" s="41" t="s">
        <v>403</v>
      </c>
      <c r="N34" s="41">
        <v>280266</v>
      </c>
      <c r="O34" s="41" t="s">
        <v>400</v>
      </c>
      <c r="P34" s="41"/>
    </row>
    <row r="35" spans="1:17" s="30" customFormat="1" ht="51" customHeight="1">
      <c r="A35" s="35">
        <v>32</v>
      </c>
      <c r="B35" s="46" t="s">
        <v>40</v>
      </c>
      <c r="C35" s="38" t="s">
        <v>88</v>
      </c>
      <c r="D35" s="62"/>
      <c r="E35" s="40" t="s">
        <v>221</v>
      </c>
      <c r="F35" s="45">
        <v>1</v>
      </c>
      <c r="G35" s="45" t="s">
        <v>9</v>
      </c>
      <c r="H35" s="47">
        <v>357</v>
      </c>
      <c r="I35" s="47">
        <v>163</v>
      </c>
      <c r="J35" s="47">
        <v>190</v>
      </c>
      <c r="K35" s="43">
        <v>1050</v>
      </c>
      <c r="L35" s="43">
        <v>1500</v>
      </c>
      <c r="M35" s="41" t="s">
        <v>418</v>
      </c>
      <c r="N35" s="41">
        <v>280287</v>
      </c>
      <c r="O35" s="41" t="s">
        <v>408</v>
      </c>
      <c r="P35" s="41" t="s">
        <v>16</v>
      </c>
      <c r="Q35" s="30" t="s">
        <v>111</v>
      </c>
    </row>
    <row r="36" spans="1:17" s="30" customFormat="1" ht="51" customHeight="1">
      <c r="A36" s="35">
        <v>33</v>
      </c>
      <c r="B36" s="46" t="s">
        <v>41</v>
      </c>
      <c r="C36" s="38" t="s">
        <v>88</v>
      </c>
      <c r="D36" s="62"/>
      <c r="E36" s="40" t="s">
        <v>222</v>
      </c>
      <c r="F36" s="45">
        <v>1</v>
      </c>
      <c r="G36" s="45" t="s">
        <v>9</v>
      </c>
      <c r="H36" s="47">
        <v>312</v>
      </c>
      <c r="I36" s="47">
        <v>194</v>
      </c>
      <c r="J36" s="47">
        <v>244</v>
      </c>
      <c r="K36" s="43">
        <v>1335</v>
      </c>
      <c r="L36" s="43">
        <v>1725</v>
      </c>
      <c r="M36" s="41" t="s">
        <v>412</v>
      </c>
      <c r="N36" s="41">
        <v>280275</v>
      </c>
      <c r="O36" s="41" t="s">
        <v>408</v>
      </c>
      <c r="P36" s="41" t="s">
        <v>103</v>
      </c>
      <c r="Q36" s="30" t="s">
        <v>105</v>
      </c>
    </row>
    <row r="37" spans="1:17" s="30" customFormat="1" ht="51" customHeight="1">
      <c r="A37" s="35">
        <v>34</v>
      </c>
      <c r="B37" s="46" t="s">
        <v>52</v>
      </c>
      <c r="C37" s="38" t="s">
        <v>88</v>
      </c>
      <c r="D37" s="63"/>
      <c r="E37" s="40" t="s">
        <v>223</v>
      </c>
      <c r="F37" s="45">
        <v>1</v>
      </c>
      <c r="G37" s="45" t="s">
        <v>9</v>
      </c>
      <c r="H37" s="47">
        <v>312</v>
      </c>
      <c r="I37" s="47">
        <v>164</v>
      </c>
      <c r="J37" s="47">
        <v>198</v>
      </c>
      <c r="K37" s="43">
        <v>1250</v>
      </c>
      <c r="L37" s="43">
        <v>1635</v>
      </c>
      <c r="M37" s="41" t="s">
        <v>412</v>
      </c>
      <c r="N37" s="41">
        <v>280275</v>
      </c>
      <c r="O37" s="41" t="s">
        <v>408</v>
      </c>
      <c r="P37" s="41" t="s">
        <v>103</v>
      </c>
      <c r="Q37" s="30" t="s">
        <v>105</v>
      </c>
    </row>
    <row r="38" spans="1:17" s="30" customFormat="1" ht="51" customHeight="1">
      <c r="A38" s="35">
        <v>35</v>
      </c>
      <c r="B38" s="59" t="s">
        <v>75</v>
      </c>
      <c r="C38" s="55" t="s">
        <v>77</v>
      </c>
      <c r="D38" s="56" t="s">
        <v>547</v>
      </c>
      <c r="E38" s="40" t="s">
        <v>224</v>
      </c>
      <c r="F38" s="45">
        <v>1</v>
      </c>
      <c r="G38" s="45" t="s">
        <v>9</v>
      </c>
      <c r="H38" s="41">
        <v>310</v>
      </c>
      <c r="I38" s="41">
        <v>252</v>
      </c>
      <c r="J38" s="41">
        <v>165</v>
      </c>
      <c r="K38" s="42">
        <v>1410</v>
      </c>
      <c r="L38" s="42">
        <v>2005</v>
      </c>
      <c r="M38" s="41" t="s">
        <v>563</v>
      </c>
      <c r="N38" s="41">
        <v>281010</v>
      </c>
      <c r="O38" s="41" t="s">
        <v>564</v>
      </c>
      <c r="P38" s="41" t="s">
        <v>20</v>
      </c>
      <c r="Q38" s="31"/>
    </row>
    <row r="39" spans="1:17" s="30" customFormat="1" ht="51" customHeight="1">
      <c r="A39" s="35">
        <v>36</v>
      </c>
      <c r="B39" s="59" t="s">
        <v>76</v>
      </c>
      <c r="C39" s="55" t="s">
        <v>77</v>
      </c>
      <c r="D39" s="60"/>
      <c r="E39" s="40" t="s">
        <v>225</v>
      </c>
      <c r="F39" s="45">
        <v>1</v>
      </c>
      <c r="G39" s="45" t="s">
        <v>9</v>
      </c>
      <c r="H39" s="41">
        <v>331</v>
      </c>
      <c r="I39" s="41">
        <v>152</v>
      </c>
      <c r="J39" s="41">
        <v>202</v>
      </c>
      <c r="K39" s="42">
        <v>1410</v>
      </c>
      <c r="L39" s="42">
        <v>1925</v>
      </c>
      <c r="M39" s="41" t="s">
        <v>563</v>
      </c>
      <c r="N39" s="41">
        <v>281010</v>
      </c>
      <c r="O39" s="41" t="s">
        <v>564</v>
      </c>
      <c r="P39" s="41" t="s">
        <v>20</v>
      </c>
      <c r="Q39" s="31"/>
    </row>
    <row r="40" spans="1:17" s="30" customFormat="1" ht="51" customHeight="1">
      <c r="A40" s="35">
        <v>37</v>
      </c>
      <c r="B40" s="37" t="s">
        <v>53</v>
      </c>
      <c r="C40" s="38" t="s">
        <v>91</v>
      </c>
      <c r="D40" s="39" t="s">
        <v>547</v>
      </c>
      <c r="E40" s="40" t="s">
        <v>226</v>
      </c>
      <c r="F40" s="45">
        <v>1</v>
      </c>
      <c r="G40" s="45" t="s">
        <v>9</v>
      </c>
      <c r="H40" s="41">
        <v>468</v>
      </c>
      <c r="I40" s="41">
        <v>201</v>
      </c>
      <c r="J40" s="41">
        <v>125</v>
      </c>
      <c r="K40" s="42">
        <v>1790</v>
      </c>
      <c r="L40" s="42">
        <v>2340</v>
      </c>
      <c r="M40" s="41" t="s">
        <v>409</v>
      </c>
      <c r="N40" s="41">
        <v>280272</v>
      </c>
      <c r="O40" s="57" t="s">
        <v>408</v>
      </c>
      <c r="P40" s="41" t="s">
        <v>110</v>
      </c>
    </row>
    <row r="41" spans="1:17" s="30" customFormat="1" ht="51" customHeight="1">
      <c r="A41" s="35">
        <v>38</v>
      </c>
      <c r="B41" s="37" t="s">
        <v>54</v>
      </c>
      <c r="C41" s="38" t="s">
        <v>91</v>
      </c>
      <c r="D41" s="44"/>
      <c r="E41" s="40" t="s">
        <v>227</v>
      </c>
      <c r="F41" s="45">
        <v>1</v>
      </c>
      <c r="G41" s="45" t="s">
        <v>9</v>
      </c>
      <c r="H41" s="41">
        <v>468</v>
      </c>
      <c r="I41" s="41">
        <v>201</v>
      </c>
      <c r="J41" s="41">
        <v>125</v>
      </c>
      <c r="K41" s="42">
        <v>1790</v>
      </c>
      <c r="L41" s="42">
        <v>2340</v>
      </c>
      <c r="M41" s="41" t="s">
        <v>401</v>
      </c>
      <c r="N41" s="41">
        <v>280265</v>
      </c>
      <c r="O41" s="57" t="s">
        <v>400</v>
      </c>
      <c r="P41" s="41" t="s">
        <v>110</v>
      </c>
    </row>
    <row r="42" spans="1:17" s="30" customFormat="1" ht="51" customHeight="1">
      <c r="A42" s="35">
        <v>39</v>
      </c>
      <c r="B42" s="37" t="s">
        <v>55</v>
      </c>
      <c r="C42" s="38" t="s">
        <v>91</v>
      </c>
      <c r="D42" s="44"/>
      <c r="E42" s="40" t="s">
        <v>228</v>
      </c>
      <c r="F42" s="45">
        <v>1</v>
      </c>
      <c r="G42" s="45" t="s">
        <v>9</v>
      </c>
      <c r="H42" s="41">
        <v>468</v>
      </c>
      <c r="I42" s="41">
        <v>201</v>
      </c>
      <c r="J42" s="41">
        <v>125</v>
      </c>
      <c r="K42" s="42">
        <v>1790</v>
      </c>
      <c r="L42" s="42">
        <v>2340</v>
      </c>
      <c r="M42" s="41" t="s">
        <v>409</v>
      </c>
      <c r="N42" s="41">
        <v>280272</v>
      </c>
      <c r="O42" s="57" t="s">
        <v>408</v>
      </c>
      <c r="P42" s="41" t="s">
        <v>108</v>
      </c>
    </row>
    <row r="43" spans="1:17" s="30" customFormat="1" ht="51" customHeight="1">
      <c r="A43" s="35">
        <v>40</v>
      </c>
      <c r="B43" s="46" t="s">
        <v>66</v>
      </c>
      <c r="C43" s="38" t="s">
        <v>91</v>
      </c>
      <c r="D43" s="44"/>
      <c r="E43" s="40" t="s">
        <v>229</v>
      </c>
      <c r="F43" s="45">
        <v>1</v>
      </c>
      <c r="G43" s="45" t="s">
        <v>9</v>
      </c>
      <c r="H43" s="47">
        <v>357</v>
      </c>
      <c r="I43" s="47">
        <v>163</v>
      </c>
      <c r="J43" s="47">
        <v>190</v>
      </c>
      <c r="K43" s="43">
        <v>1050</v>
      </c>
      <c r="L43" s="43">
        <v>1500</v>
      </c>
      <c r="M43" s="41" t="s">
        <v>418</v>
      </c>
      <c r="N43" s="41">
        <v>280279</v>
      </c>
      <c r="O43" s="41" t="s">
        <v>408</v>
      </c>
      <c r="P43" s="41" t="s">
        <v>16</v>
      </c>
      <c r="Q43" s="30" t="s">
        <v>111</v>
      </c>
    </row>
    <row r="44" spans="1:17" s="30" customFormat="1" ht="51" customHeight="1">
      <c r="A44" s="35">
        <v>41</v>
      </c>
      <c r="B44" s="46" t="s">
        <v>67</v>
      </c>
      <c r="C44" s="38" t="s">
        <v>91</v>
      </c>
      <c r="D44" s="48"/>
      <c r="E44" s="40" t="s">
        <v>230</v>
      </c>
      <c r="F44" s="45">
        <v>1</v>
      </c>
      <c r="G44" s="45" t="s">
        <v>9</v>
      </c>
      <c r="H44" s="47">
        <v>342</v>
      </c>
      <c r="I44" s="47">
        <v>192</v>
      </c>
      <c r="J44" s="47">
        <v>295</v>
      </c>
      <c r="K44" s="43">
        <v>1785</v>
      </c>
      <c r="L44" s="43">
        <v>2200</v>
      </c>
      <c r="M44" s="41" t="s">
        <v>406</v>
      </c>
      <c r="N44" s="41">
        <v>280270</v>
      </c>
      <c r="O44" s="41" t="s">
        <v>400</v>
      </c>
      <c r="P44" s="41" t="s">
        <v>17</v>
      </c>
      <c r="Q44" s="30" t="s">
        <v>94</v>
      </c>
    </row>
    <row r="45" spans="1:17" s="30" customFormat="1" ht="51" customHeight="1">
      <c r="A45" s="35">
        <v>42</v>
      </c>
      <c r="B45" s="37" t="s">
        <v>58</v>
      </c>
      <c r="C45" s="38" t="s">
        <v>78</v>
      </c>
      <c r="D45" s="49" t="s">
        <v>548</v>
      </c>
      <c r="E45" s="40" t="s">
        <v>231</v>
      </c>
      <c r="F45" s="45">
        <v>1</v>
      </c>
      <c r="G45" s="45" t="s">
        <v>9</v>
      </c>
      <c r="H45" s="41">
        <v>468</v>
      </c>
      <c r="I45" s="41">
        <v>201</v>
      </c>
      <c r="J45" s="41">
        <v>127</v>
      </c>
      <c r="K45" s="42">
        <v>1790</v>
      </c>
      <c r="L45" s="42">
        <v>2340</v>
      </c>
      <c r="M45" s="41" t="s">
        <v>399</v>
      </c>
      <c r="N45" s="41">
        <v>280264</v>
      </c>
      <c r="O45" s="41" t="s">
        <v>400</v>
      </c>
      <c r="P45" s="41" t="s">
        <v>108</v>
      </c>
    </row>
    <row r="46" spans="1:17" s="30" customFormat="1" ht="51" customHeight="1">
      <c r="A46" s="35">
        <v>43</v>
      </c>
      <c r="B46" s="37" t="s">
        <v>59</v>
      </c>
      <c r="C46" s="38" t="s">
        <v>78</v>
      </c>
      <c r="D46" s="50"/>
      <c r="E46" s="40" t="s">
        <v>232</v>
      </c>
      <c r="F46" s="45">
        <v>1</v>
      </c>
      <c r="G46" s="45" t="s">
        <v>9</v>
      </c>
      <c r="H46" s="41">
        <v>468</v>
      </c>
      <c r="I46" s="41">
        <v>201</v>
      </c>
      <c r="J46" s="41">
        <v>127</v>
      </c>
      <c r="K46" s="42">
        <v>1790</v>
      </c>
      <c r="L46" s="42">
        <v>2340</v>
      </c>
      <c r="M46" s="41" t="s">
        <v>399</v>
      </c>
      <c r="N46" s="41">
        <v>280264</v>
      </c>
      <c r="O46" s="41" t="s">
        <v>400</v>
      </c>
      <c r="P46" s="41" t="s">
        <v>109</v>
      </c>
    </row>
    <row r="47" spans="1:17" s="30" customFormat="1" ht="51" customHeight="1">
      <c r="A47" s="35">
        <v>44</v>
      </c>
      <c r="B47" s="37" t="s">
        <v>60</v>
      </c>
      <c r="C47" s="38" t="s">
        <v>78</v>
      </c>
      <c r="D47" s="50"/>
      <c r="E47" s="40" t="s">
        <v>233</v>
      </c>
      <c r="F47" s="45">
        <v>1</v>
      </c>
      <c r="G47" s="45" t="s">
        <v>9</v>
      </c>
      <c r="H47" s="41">
        <v>468</v>
      </c>
      <c r="I47" s="41">
        <v>201</v>
      </c>
      <c r="J47" s="41">
        <v>127</v>
      </c>
      <c r="K47" s="42">
        <v>1790</v>
      </c>
      <c r="L47" s="42">
        <v>2340</v>
      </c>
      <c r="M47" s="41" t="s">
        <v>410</v>
      </c>
      <c r="N47" s="41">
        <v>280273</v>
      </c>
      <c r="O47" s="41" t="s">
        <v>408</v>
      </c>
      <c r="P47" s="41" t="s">
        <v>109</v>
      </c>
    </row>
    <row r="48" spans="1:17" s="30" customFormat="1" ht="51" customHeight="1">
      <c r="A48" s="35">
        <v>45</v>
      </c>
      <c r="B48" s="46" t="s">
        <v>61</v>
      </c>
      <c r="C48" s="38" t="s">
        <v>78</v>
      </c>
      <c r="D48" s="50"/>
      <c r="E48" s="40" t="s">
        <v>234</v>
      </c>
      <c r="F48" s="45">
        <v>1</v>
      </c>
      <c r="G48" s="45" t="s">
        <v>9</v>
      </c>
      <c r="H48" s="41">
        <v>322</v>
      </c>
      <c r="I48" s="47">
        <v>203</v>
      </c>
      <c r="J48" s="47">
        <v>181</v>
      </c>
      <c r="K48" s="43">
        <v>1050</v>
      </c>
      <c r="L48" s="43">
        <v>1538</v>
      </c>
      <c r="M48" s="41" t="s">
        <v>419</v>
      </c>
      <c r="N48" s="41">
        <v>280289</v>
      </c>
      <c r="O48" s="41" t="s">
        <v>408</v>
      </c>
      <c r="P48" s="41" t="s">
        <v>94</v>
      </c>
      <c r="Q48" s="30" t="s">
        <v>103</v>
      </c>
    </row>
    <row r="49" spans="1:17" s="30" customFormat="1" ht="51" customHeight="1">
      <c r="A49" s="35">
        <v>46</v>
      </c>
      <c r="B49" s="46" t="s">
        <v>62</v>
      </c>
      <c r="C49" s="38" t="s">
        <v>78</v>
      </c>
      <c r="D49" s="51"/>
      <c r="E49" s="40" t="s">
        <v>235</v>
      </c>
      <c r="F49" s="45">
        <v>1</v>
      </c>
      <c r="G49" s="45" t="s">
        <v>9</v>
      </c>
      <c r="H49" s="41">
        <v>322</v>
      </c>
      <c r="I49" s="47">
        <v>202</v>
      </c>
      <c r="J49" s="47">
        <v>187</v>
      </c>
      <c r="K49" s="43">
        <v>1030</v>
      </c>
      <c r="L49" s="43">
        <v>1500</v>
      </c>
      <c r="M49" s="41" t="s">
        <v>420</v>
      </c>
      <c r="N49" s="41">
        <v>280288</v>
      </c>
      <c r="O49" s="57">
        <v>45369</v>
      </c>
      <c r="P49" s="41" t="s">
        <v>104</v>
      </c>
      <c r="Q49" s="30" t="s">
        <v>103</v>
      </c>
    </row>
    <row r="50" spans="1:17" s="30" customFormat="1" ht="51" customHeight="1">
      <c r="A50" s="35">
        <v>47</v>
      </c>
      <c r="B50" s="37" t="s">
        <v>63</v>
      </c>
      <c r="C50" s="38" t="s">
        <v>79</v>
      </c>
      <c r="D50" s="52" t="s">
        <v>549</v>
      </c>
      <c r="E50" s="40" t="s">
        <v>236</v>
      </c>
      <c r="F50" s="45">
        <v>1</v>
      </c>
      <c r="G50" s="45" t="s">
        <v>9</v>
      </c>
      <c r="H50" s="41">
        <v>468</v>
      </c>
      <c r="I50" s="41">
        <v>201</v>
      </c>
      <c r="J50" s="41">
        <v>127</v>
      </c>
      <c r="K50" s="42">
        <v>1790</v>
      </c>
      <c r="L50" s="42">
        <v>2340</v>
      </c>
      <c r="M50" s="41" t="s">
        <v>401</v>
      </c>
      <c r="N50" s="41">
        <v>280265</v>
      </c>
      <c r="O50" s="57" t="s">
        <v>400</v>
      </c>
      <c r="P50" s="41" t="s">
        <v>102</v>
      </c>
    </row>
    <row r="51" spans="1:17" s="30" customFormat="1" ht="51" customHeight="1">
      <c r="A51" s="35">
        <v>48</v>
      </c>
      <c r="B51" s="37" t="s">
        <v>64</v>
      </c>
      <c r="C51" s="38" t="s">
        <v>79</v>
      </c>
      <c r="D51" s="53"/>
      <c r="E51" s="40" t="s">
        <v>237</v>
      </c>
      <c r="F51" s="45">
        <v>1</v>
      </c>
      <c r="G51" s="45" t="s">
        <v>9</v>
      </c>
      <c r="H51" s="41">
        <v>468</v>
      </c>
      <c r="I51" s="41">
        <v>201</v>
      </c>
      <c r="J51" s="41">
        <v>127</v>
      </c>
      <c r="K51" s="42">
        <v>1790</v>
      </c>
      <c r="L51" s="42">
        <v>2340</v>
      </c>
      <c r="M51" s="41" t="s">
        <v>410</v>
      </c>
      <c r="N51" s="41">
        <v>280273</v>
      </c>
      <c r="O51" s="41" t="s">
        <v>408</v>
      </c>
      <c r="P51" s="41" t="s">
        <v>102</v>
      </c>
    </row>
    <row r="52" spans="1:17" s="30" customFormat="1" ht="51" customHeight="1">
      <c r="A52" s="35">
        <v>49</v>
      </c>
      <c r="B52" s="37" t="s">
        <v>65</v>
      </c>
      <c r="C52" s="38" t="s">
        <v>79</v>
      </c>
      <c r="D52" s="53"/>
      <c r="E52" s="40" t="s">
        <v>238</v>
      </c>
      <c r="F52" s="45">
        <v>1</v>
      </c>
      <c r="G52" s="45" t="s">
        <v>9</v>
      </c>
      <c r="H52" s="41">
        <v>468</v>
      </c>
      <c r="I52" s="41">
        <v>201</v>
      </c>
      <c r="J52" s="41">
        <v>127</v>
      </c>
      <c r="K52" s="42">
        <v>1790</v>
      </c>
      <c r="L52" s="42">
        <v>2340</v>
      </c>
      <c r="M52" s="41" t="s">
        <v>403</v>
      </c>
      <c r="N52" s="41">
        <v>280266</v>
      </c>
      <c r="O52" s="41" t="s">
        <v>400</v>
      </c>
      <c r="P52" s="41" t="s">
        <v>140</v>
      </c>
    </row>
    <row r="53" spans="1:17" s="30" customFormat="1" ht="51" customHeight="1">
      <c r="A53" s="35">
        <v>50</v>
      </c>
      <c r="B53" s="46" t="s">
        <v>56</v>
      </c>
      <c r="C53" s="38" t="s">
        <v>79</v>
      </c>
      <c r="D53" s="53"/>
      <c r="E53" s="40" t="s">
        <v>239</v>
      </c>
      <c r="F53" s="45">
        <v>1</v>
      </c>
      <c r="G53" s="45" t="s">
        <v>9</v>
      </c>
      <c r="H53" s="47">
        <v>350</v>
      </c>
      <c r="I53" s="47">
        <v>162</v>
      </c>
      <c r="J53" s="47">
        <v>191</v>
      </c>
      <c r="K53" s="43">
        <v>1075</v>
      </c>
      <c r="L53" s="43">
        <v>1440</v>
      </c>
      <c r="M53" s="41" t="s">
        <v>418</v>
      </c>
      <c r="N53" s="41">
        <v>280279</v>
      </c>
      <c r="O53" s="41" t="s">
        <v>408</v>
      </c>
      <c r="P53" s="41" t="s">
        <v>16</v>
      </c>
      <c r="Q53" s="30" t="s">
        <v>111</v>
      </c>
    </row>
    <row r="54" spans="1:17" s="30" customFormat="1" ht="51" customHeight="1">
      <c r="A54" s="35">
        <v>51</v>
      </c>
      <c r="B54" s="46" t="s">
        <v>57</v>
      </c>
      <c r="C54" s="38" t="s">
        <v>79</v>
      </c>
      <c r="D54" s="53"/>
      <c r="E54" s="40" t="s">
        <v>240</v>
      </c>
      <c r="F54" s="45">
        <v>1</v>
      </c>
      <c r="G54" s="45" t="s">
        <v>9</v>
      </c>
      <c r="H54" s="47">
        <v>312</v>
      </c>
      <c r="I54" s="47">
        <v>192</v>
      </c>
      <c r="J54" s="47">
        <v>240</v>
      </c>
      <c r="K54" s="43">
        <v>1230</v>
      </c>
      <c r="L54" s="43">
        <v>1750</v>
      </c>
      <c r="M54" s="41" t="s">
        <v>420</v>
      </c>
      <c r="N54" s="41">
        <v>280288</v>
      </c>
      <c r="O54" s="57">
        <v>45369</v>
      </c>
      <c r="P54" s="41" t="s">
        <v>104</v>
      </c>
      <c r="Q54" s="30" t="s">
        <v>96</v>
      </c>
    </row>
    <row r="55" spans="1:17" s="30" customFormat="1" ht="51" customHeight="1">
      <c r="A55" s="35">
        <v>52</v>
      </c>
      <c r="B55" s="46" t="s">
        <v>68</v>
      </c>
      <c r="C55" s="38" t="s">
        <v>79</v>
      </c>
      <c r="D55" s="54"/>
      <c r="E55" s="40" t="s">
        <v>241</v>
      </c>
      <c r="F55" s="45">
        <v>1</v>
      </c>
      <c r="G55" s="45" t="s">
        <v>9</v>
      </c>
      <c r="H55" s="47">
        <v>330</v>
      </c>
      <c r="I55" s="47">
        <v>166</v>
      </c>
      <c r="J55" s="47">
        <v>193</v>
      </c>
      <c r="K55" s="43">
        <v>1020</v>
      </c>
      <c r="L55" s="43">
        <v>1445</v>
      </c>
      <c r="M55" s="41" t="s">
        <v>419</v>
      </c>
      <c r="N55" s="41">
        <v>280289</v>
      </c>
      <c r="O55" s="41" t="s">
        <v>408</v>
      </c>
      <c r="P55" s="41" t="s">
        <v>104</v>
      </c>
      <c r="Q55" s="30" t="s">
        <v>96</v>
      </c>
    </row>
    <row r="56" spans="1:17" s="30" customFormat="1" ht="51" customHeight="1">
      <c r="A56" s="35">
        <v>53</v>
      </c>
      <c r="B56" s="46" t="s">
        <v>80</v>
      </c>
      <c r="C56" s="38" t="s">
        <v>83</v>
      </c>
      <c r="D56" s="39" t="s">
        <v>547</v>
      </c>
      <c r="E56" s="40" t="s">
        <v>242</v>
      </c>
      <c r="F56" s="45">
        <v>1</v>
      </c>
      <c r="G56" s="45" t="s">
        <v>9</v>
      </c>
      <c r="H56" s="47">
        <v>310</v>
      </c>
      <c r="I56" s="47">
        <v>253</v>
      </c>
      <c r="J56" s="47">
        <v>168</v>
      </c>
      <c r="K56" s="43">
        <v>1600</v>
      </c>
      <c r="L56" s="43">
        <v>2030</v>
      </c>
      <c r="M56" s="41" t="s">
        <v>432</v>
      </c>
      <c r="N56" s="41">
        <v>280299</v>
      </c>
      <c r="O56" s="57">
        <v>45371</v>
      </c>
      <c r="P56" s="41" t="s">
        <v>104</v>
      </c>
      <c r="Q56" s="30" t="s">
        <v>96</v>
      </c>
    </row>
    <row r="57" spans="1:17" s="30" customFormat="1" ht="51" customHeight="1">
      <c r="A57" s="35">
        <v>54</v>
      </c>
      <c r="B57" s="46" t="s">
        <v>81</v>
      </c>
      <c r="C57" s="38" t="s">
        <v>83</v>
      </c>
      <c r="D57" s="44"/>
      <c r="E57" s="40" t="s">
        <v>243</v>
      </c>
      <c r="F57" s="45">
        <v>1</v>
      </c>
      <c r="G57" s="45" t="s">
        <v>9</v>
      </c>
      <c r="H57" s="47">
        <v>332</v>
      </c>
      <c r="I57" s="47">
        <v>154</v>
      </c>
      <c r="J57" s="47">
        <v>199</v>
      </c>
      <c r="K57" s="43">
        <v>1350</v>
      </c>
      <c r="L57" s="43">
        <v>1946</v>
      </c>
      <c r="M57" s="41" t="s">
        <v>420</v>
      </c>
      <c r="N57" s="41">
        <v>280290</v>
      </c>
      <c r="O57" s="57">
        <v>45369</v>
      </c>
      <c r="P57" s="41" t="s">
        <v>104</v>
      </c>
      <c r="Q57" s="30" t="s">
        <v>97</v>
      </c>
    </row>
    <row r="58" spans="1:17" s="30" customFormat="1" ht="51" customHeight="1">
      <c r="A58" s="35">
        <v>55</v>
      </c>
      <c r="B58" s="46" t="s">
        <v>82</v>
      </c>
      <c r="C58" s="38" t="s">
        <v>83</v>
      </c>
      <c r="D58" s="48"/>
      <c r="E58" s="40" t="s">
        <v>244</v>
      </c>
      <c r="F58" s="45">
        <v>1</v>
      </c>
      <c r="G58" s="45" t="s">
        <v>9</v>
      </c>
      <c r="H58" s="47">
        <v>346</v>
      </c>
      <c r="I58" s="47">
        <v>135</v>
      </c>
      <c r="J58" s="47">
        <v>194</v>
      </c>
      <c r="K58" s="43">
        <v>520</v>
      </c>
      <c r="L58" s="43">
        <v>800</v>
      </c>
      <c r="M58" s="41" t="s">
        <v>432</v>
      </c>
      <c r="N58" s="41">
        <v>280299</v>
      </c>
      <c r="O58" s="57">
        <v>45371</v>
      </c>
      <c r="P58" s="41" t="s">
        <v>18</v>
      </c>
      <c r="Q58" s="30" t="s">
        <v>97</v>
      </c>
    </row>
    <row r="59" spans="1:17" s="30" customFormat="1" ht="51" customHeight="1">
      <c r="A59" s="35">
        <v>56</v>
      </c>
      <c r="B59" s="46" t="s">
        <v>69</v>
      </c>
      <c r="C59" s="38" t="s">
        <v>84</v>
      </c>
      <c r="D59" s="64" t="s">
        <v>551</v>
      </c>
      <c r="E59" s="40" t="s">
        <v>245</v>
      </c>
      <c r="F59" s="45">
        <v>1</v>
      </c>
      <c r="G59" s="45" t="s">
        <v>9</v>
      </c>
      <c r="H59" s="47">
        <v>380</v>
      </c>
      <c r="I59" s="47">
        <v>170</v>
      </c>
      <c r="J59" s="47">
        <v>264</v>
      </c>
      <c r="K59" s="42">
        <v>1335</v>
      </c>
      <c r="L59" s="42">
        <v>1780</v>
      </c>
      <c r="M59" s="41" t="s">
        <v>406</v>
      </c>
      <c r="N59" s="41">
        <v>280270</v>
      </c>
      <c r="O59" s="41" t="s">
        <v>400</v>
      </c>
      <c r="P59" s="41" t="s">
        <v>141</v>
      </c>
      <c r="Q59" s="30" t="s">
        <v>334</v>
      </c>
    </row>
    <row r="60" spans="1:17" s="30" customFormat="1" ht="51" customHeight="1">
      <c r="A60" s="35">
        <v>57</v>
      </c>
      <c r="B60" s="46" t="s">
        <v>70</v>
      </c>
      <c r="C60" s="38" t="s">
        <v>85</v>
      </c>
      <c r="D60" s="65"/>
      <c r="E60" s="40" t="s">
        <v>246</v>
      </c>
      <c r="F60" s="45">
        <v>1</v>
      </c>
      <c r="G60" s="45" t="s">
        <v>9</v>
      </c>
      <c r="H60" s="47">
        <v>380</v>
      </c>
      <c r="I60" s="47">
        <v>170</v>
      </c>
      <c r="J60" s="47">
        <v>264</v>
      </c>
      <c r="K60" s="42">
        <f>+L60-450</f>
        <v>1335</v>
      </c>
      <c r="L60" s="66">
        <v>1785</v>
      </c>
      <c r="M60" s="41" t="s">
        <v>402</v>
      </c>
      <c r="N60" s="41">
        <v>280267</v>
      </c>
      <c r="O60" s="41" t="s">
        <v>400</v>
      </c>
      <c r="P60" s="41" t="s">
        <v>141</v>
      </c>
      <c r="Q60" s="30" t="s">
        <v>334</v>
      </c>
    </row>
    <row r="61" spans="1:17" s="30" customFormat="1" ht="51" customHeight="1">
      <c r="A61" s="35">
        <v>58</v>
      </c>
      <c r="B61" s="46" t="s">
        <v>113</v>
      </c>
      <c r="C61" s="38" t="s">
        <v>116</v>
      </c>
      <c r="D61" s="65"/>
      <c r="E61" s="40" t="s">
        <v>247</v>
      </c>
      <c r="F61" s="67">
        <v>1</v>
      </c>
      <c r="G61" s="67" t="s">
        <v>9</v>
      </c>
      <c r="H61" s="47">
        <v>380</v>
      </c>
      <c r="I61" s="47">
        <v>170</v>
      </c>
      <c r="J61" s="47">
        <v>264</v>
      </c>
      <c r="K61" s="42">
        <f>+L61-450</f>
        <v>1340</v>
      </c>
      <c r="L61" s="66">
        <v>1790</v>
      </c>
      <c r="M61" s="41" t="s">
        <v>402</v>
      </c>
      <c r="N61" s="41">
        <v>280267</v>
      </c>
      <c r="O61" s="41" t="s">
        <v>400</v>
      </c>
      <c r="P61" s="67" t="s">
        <v>142</v>
      </c>
      <c r="Q61" s="32" t="s">
        <v>335</v>
      </c>
    </row>
    <row r="62" spans="1:17" s="30" customFormat="1" ht="51" customHeight="1">
      <c r="A62" s="35">
        <v>59</v>
      </c>
      <c r="B62" s="46" t="s">
        <v>114</v>
      </c>
      <c r="C62" s="38" t="s">
        <v>115</v>
      </c>
      <c r="D62" s="68"/>
      <c r="E62" s="40" t="s">
        <v>248</v>
      </c>
      <c r="F62" s="67">
        <v>1</v>
      </c>
      <c r="G62" s="67" t="s">
        <v>9</v>
      </c>
      <c r="H62" s="47">
        <v>380</v>
      </c>
      <c r="I62" s="47">
        <v>170</v>
      </c>
      <c r="J62" s="47">
        <v>264</v>
      </c>
      <c r="K62" s="42">
        <f>+L62-450</f>
        <v>1320</v>
      </c>
      <c r="L62" s="66">
        <v>1770</v>
      </c>
      <c r="M62" s="41" t="s">
        <v>402</v>
      </c>
      <c r="N62" s="41">
        <v>280267</v>
      </c>
      <c r="O62" s="41" t="s">
        <v>400</v>
      </c>
      <c r="P62" s="67" t="s">
        <v>142</v>
      </c>
      <c r="Q62" s="32" t="s">
        <v>335</v>
      </c>
    </row>
    <row r="63" spans="1:17" s="30" customFormat="1" ht="51" customHeight="1">
      <c r="A63" s="35">
        <v>60</v>
      </c>
      <c r="B63" s="69" t="s">
        <v>122</v>
      </c>
      <c r="C63" s="70" t="s">
        <v>119</v>
      </c>
      <c r="D63" s="39" t="s">
        <v>547</v>
      </c>
      <c r="E63" s="40" t="s">
        <v>249</v>
      </c>
      <c r="F63" s="41">
        <v>3</v>
      </c>
      <c r="G63" s="41" t="s">
        <v>9</v>
      </c>
      <c r="H63" s="47">
        <v>362</v>
      </c>
      <c r="I63" s="47">
        <v>136</v>
      </c>
      <c r="J63" s="47">
        <v>175</v>
      </c>
      <c r="K63" s="42">
        <v>1200</v>
      </c>
      <c r="L63" s="42">
        <v>1600</v>
      </c>
      <c r="M63" s="41" t="s">
        <v>423</v>
      </c>
      <c r="N63" s="41">
        <v>280293</v>
      </c>
      <c r="O63" s="41" t="s">
        <v>422</v>
      </c>
      <c r="P63" s="41" t="s">
        <v>112</v>
      </c>
      <c r="Q63" s="32"/>
    </row>
    <row r="64" spans="1:17" s="30" customFormat="1" ht="51" customHeight="1">
      <c r="A64" s="35">
        <v>61</v>
      </c>
      <c r="B64" s="69" t="s">
        <v>123</v>
      </c>
      <c r="C64" s="70" t="s">
        <v>119</v>
      </c>
      <c r="D64" s="48"/>
      <c r="E64" s="40" t="s">
        <v>250</v>
      </c>
      <c r="F64" s="41">
        <v>3</v>
      </c>
      <c r="G64" s="41" t="s">
        <v>9</v>
      </c>
      <c r="H64" s="47">
        <v>362</v>
      </c>
      <c r="I64" s="47">
        <v>126</v>
      </c>
      <c r="J64" s="47">
        <v>120</v>
      </c>
      <c r="K64" s="42">
        <v>1056</v>
      </c>
      <c r="L64" s="42">
        <v>1535</v>
      </c>
      <c r="M64" s="41" t="s">
        <v>117</v>
      </c>
      <c r="N64" s="41">
        <v>280271</v>
      </c>
      <c r="O64" s="41" t="s">
        <v>408</v>
      </c>
      <c r="P64" s="41" t="s">
        <v>177</v>
      </c>
      <c r="Q64" s="32"/>
    </row>
    <row r="65" spans="1:17" s="30" customFormat="1" ht="51" customHeight="1">
      <c r="A65" s="35">
        <v>62</v>
      </c>
      <c r="B65" s="69" t="s">
        <v>124</v>
      </c>
      <c r="C65" s="70" t="s">
        <v>86</v>
      </c>
      <c r="D65" s="49" t="s">
        <v>548</v>
      </c>
      <c r="E65" s="40" t="s">
        <v>251</v>
      </c>
      <c r="F65" s="41">
        <v>3</v>
      </c>
      <c r="G65" s="41" t="s">
        <v>9</v>
      </c>
      <c r="H65" s="47">
        <v>362</v>
      </c>
      <c r="I65" s="47">
        <v>126</v>
      </c>
      <c r="J65" s="47">
        <v>120</v>
      </c>
      <c r="K65" s="42">
        <v>1056</v>
      </c>
      <c r="L65" s="42">
        <v>1535</v>
      </c>
      <c r="M65" s="41" t="s">
        <v>117</v>
      </c>
      <c r="N65" s="41">
        <v>280271</v>
      </c>
      <c r="O65" s="41" t="s">
        <v>408</v>
      </c>
      <c r="P65" s="41" t="s">
        <v>177</v>
      </c>
      <c r="Q65" s="32"/>
    </row>
    <row r="66" spans="1:17" s="30" customFormat="1" ht="51" customHeight="1">
      <c r="A66" s="35">
        <v>63</v>
      </c>
      <c r="B66" s="69" t="s">
        <v>125</v>
      </c>
      <c r="C66" s="70" t="s">
        <v>86</v>
      </c>
      <c r="D66" s="51"/>
      <c r="E66" s="40" t="s">
        <v>252</v>
      </c>
      <c r="F66" s="41">
        <v>3</v>
      </c>
      <c r="G66" s="41" t="s">
        <v>9</v>
      </c>
      <c r="H66" s="47">
        <v>362</v>
      </c>
      <c r="I66" s="47">
        <v>126</v>
      </c>
      <c r="J66" s="47">
        <v>120</v>
      </c>
      <c r="K66" s="42">
        <v>1056</v>
      </c>
      <c r="L66" s="42">
        <v>1535</v>
      </c>
      <c r="M66" s="41" t="s">
        <v>117</v>
      </c>
      <c r="N66" s="41">
        <v>280271</v>
      </c>
      <c r="O66" s="41" t="s">
        <v>408</v>
      </c>
      <c r="P66" s="41" t="s">
        <v>177</v>
      </c>
    </row>
    <row r="67" spans="1:17" s="30" customFormat="1" ht="51" customHeight="1">
      <c r="A67" s="34">
        <v>64</v>
      </c>
      <c r="B67" s="69" t="s">
        <v>126</v>
      </c>
      <c r="C67" s="70" t="s">
        <v>71</v>
      </c>
      <c r="D67" s="52" t="s">
        <v>549</v>
      </c>
      <c r="E67" s="40" t="s">
        <v>253</v>
      </c>
      <c r="F67" s="41">
        <v>3</v>
      </c>
      <c r="G67" s="41" t="s">
        <v>9</v>
      </c>
      <c r="H67" s="47">
        <v>362</v>
      </c>
      <c r="I67" s="47">
        <v>136</v>
      </c>
      <c r="J67" s="47">
        <v>175</v>
      </c>
      <c r="K67" s="42">
        <v>1200</v>
      </c>
      <c r="L67" s="42">
        <v>1600</v>
      </c>
      <c r="M67" s="41" t="s">
        <v>423</v>
      </c>
      <c r="N67" s="41">
        <v>280293</v>
      </c>
      <c r="O67" s="41" t="s">
        <v>422</v>
      </c>
      <c r="P67" s="41" t="s">
        <v>112</v>
      </c>
    </row>
    <row r="68" spans="1:17" s="30" customFormat="1" ht="51" customHeight="1">
      <c r="A68" s="34">
        <v>65</v>
      </c>
      <c r="B68" s="69" t="s">
        <v>127</v>
      </c>
      <c r="C68" s="70" t="s">
        <v>71</v>
      </c>
      <c r="D68" s="54"/>
      <c r="E68" s="40" t="s">
        <v>254</v>
      </c>
      <c r="F68" s="41">
        <v>3</v>
      </c>
      <c r="G68" s="41" t="s">
        <v>9</v>
      </c>
      <c r="H68" s="47">
        <v>362</v>
      </c>
      <c r="I68" s="47">
        <v>126</v>
      </c>
      <c r="J68" s="47">
        <v>120</v>
      </c>
      <c r="K68" s="42">
        <v>1056</v>
      </c>
      <c r="L68" s="42">
        <v>1535</v>
      </c>
      <c r="M68" s="41" t="s">
        <v>117</v>
      </c>
      <c r="N68" s="41">
        <v>280271</v>
      </c>
      <c r="O68" s="41" t="s">
        <v>408</v>
      </c>
      <c r="P68" s="41" t="s">
        <v>177</v>
      </c>
    </row>
    <row r="69" spans="1:17" s="30" customFormat="1" ht="51" customHeight="1">
      <c r="A69" s="34">
        <v>66</v>
      </c>
      <c r="B69" s="69" t="s">
        <v>128</v>
      </c>
      <c r="C69" s="70" t="s">
        <v>120</v>
      </c>
      <c r="D69" s="39" t="s">
        <v>547</v>
      </c>
      <c r="E69" s="37" t="s">
        <v>255</v>
      </c>
      <c r="F69" s="47">
        <v>3</v>
      </c>
      <c r="G69" s="47" t="s">
        <v>9</v>
      </c>
      <c r="H69" s="47">
        <v>362</v>
      </c>
      <c r="I69" s="47">
        <v>126</v>
      </c>
      <c r="J69" s="47">
        <v>120</v>
      </c>
      <c r="K69" s="43"/>
      <c r="L69" s="43"/>
      <c r="M69" s="47" t="s">
        <v>580</v>
      </c>
      <c r="N69" s="47">
        <v>281021</v>
      </c>
      <c r="O69" s="47" t="s">
        <v>579</v>
      </c>
      <c r="P69" s="47" t="s">
        <v>178</v>
      </c>
    </row>
    <row r="70" spans="1:17" s="30" customFormat="1" ht="51" customHeight="1">
      <c r="A70" s="34">
        <v>67</v>
      </c>
      <c r="B70" s="69" t="s">
        <v>129</v>
      </c>
      <c r="C70" s="70" t="s">
        <v>120</v>
      </c>
      <c r="D70" s="48"/>
      <c r="E70" s="37" t="s">
        <v>256</v>
      </c>
      <c r="F70" s="47">
        <v>3</v>
      </c>
      <c r="G70" s="47" t="s">
        <v>9</v>
      </c>
      <c r="H70" s="47">
        <v>362</v>
      </c>
      <c r="I70" s="47">
        <v>126</v>
      </c>
      <c r="J70" s="47">
        <v>120</v>
      </c>
      <c r="K70" s="43"/>
      <c r="L70" s="43"/>
      <c r="M70" s="47" t="s">
        <v>580</v>
      </c>
      <c r="N70" s="47">
        <v>281021</v>
      </c>
      <c r="O70" s="47" t="s">
        <v>579</v>
      </c>
      <c r="P70" s="47" t="s">
        <v>178</v>
      </c>
    </row>
    <row r="71" spans="1:17" s="30" customFormat="1" ht="51" customHeight="1">
      <c r="A71" s="34">
        <v>68</v>
      </c>
      <c r="B71" s="69" t="s">
        <v>130</v>
      </c>
      <c r="C71" s="70" t="s">
        <v>87</v>
      </c>
      <c r="D71" s="49" t="s">
        <v>548</v>
      </c>
      <c r="E71" s="40" t="s">
        <v>257</v>
      </c>
      <c r="F71" s="41">
        <v>3</v>
      </c>
      <c r="G71" s="41" t="s">
        <v>9</v>
      </c>
      <c r="H71" s="47">
        <v>362</v>
      </c>
      <c r="I71" s="47">
        <v>126</v>
      </c>
      <c r="J71" s="47">
        <v>120</v>
      </c>
      <c r="K71" s="42">
        <v>1056</v>
      </c>
      <c r="L71" s="42">
        <v>1535</v>
      </c>
      <c r="M71" s="41" t="s">
        <v>117</v>
      </c>
      <c r="N71" s="41">
        <v>280271</v>
      </c>
      <c r="O71" s="41" t="s">
        <v>408</v>
      </c>
      <c r="P71" s="41" t="s">
        <v>178</v>
      </c>
    </row>
    <row r="72" spans="1:17" s="30" customFormat="1" ht="51" customHeight="1">
      <c r="A72" s="34">
        <v>69</v>
      </c>
      <c r="B72" s="69" t="s">
        <v>131</v>
      </c>
      <c r="C72" s="70" t="s">
        <v>87</v>
      </c>
      <c r="D72" s="51"/>
      <c r="E72" s="40" t="s">
        <v>258</v>
      </c>
      <c r="F72" s="41">
        <v>3</v>
      </c>
      <c r="G72" s="41" t="s">
        <v>9</v>
      </c>
      <c r="H72" s="47">
        <v>362</v>
      </c>
      <c r="I72" s="47">
        <v>126</v>
      </c>
      <c r="J72" s="47">
        <v>120</v>
      </c>
      <c r="K72" s="42">
        <v>1056</v>
      </c>
      <c r="L72" s="42">
        <v>1535</v>
      </c>
      <c r="M72" s="41" t="s">
        <v>117</v>
      </c>
      <c r="N72" s="41">
        <v>280271</v>
      </c>
      <c r="O72" s="41" t="s">
        <v>408</v>
      </c>
      <c r="P72" s="41" t="s">
        <v>178</v>
      </c>
    </row>
    <row r="73" spans="1:17" s="30" customFormat="1" ht="51" customHeight="1">
      <c r="A73" s="34">
        <v>70</v>
      </c>
      <c r="B73" s="69" t="s">
        <v>132</v>
      </c>
      <c r="C73" s="70" t="s">
        <v>88</v>
      </c>
      <c r="D73" s="61" t="s">
        <v>550</v>
      </c>
      <c r="E73" s="40" t="s">
        <v>259</v>
      </c>
      <c r="F73" s="41">
        <v>3</v>
      </c>
      <c r="G73" s="41" t="s">
        <v>9</v>
      </c>
      <c r="H73" s="47">
        <v>362</v>
      </c>
      <c r="I73" s="47">
        <v>136</v>
      </c>
      <c r="J73" s="47">
        <v>175</v>
      </c>
      <c r="K73" s="71">
        <v>1200</v>
      </c>
      <c r="L73" s="71">
        <v>1600</v>
      </c>
      <c r="M73" s="41" t="s">
        <v>423</v>
      </c>
      <c r="N73" s="41">
        <v>280294</v>
      </c>
      <c r="O73" s="41" t="s">
        <v>422</v>
      </c>
      <c r="P73" s="41" t="s">
        <v>112</v>
      </c>
    </row>
    <row r="74" spans="1:17" s="30" customFormat="1" ht="51" customHeight="1">
      <c r="A74" s="35">
        <v>71</v>
      </c>
      <c r="B74" s="69" t="s">
        <v>133</v>
      </c>
      <c r="C74" s="70" t="s">
        <v>88</v>
      </c>
      <c r="D74" s="63"/>
      <c r="E74" s="40" t="s">
        <v>260</v>
      </c>
      <c r="F74" s="41">
        <v>3</v>
      </c>
      <c r="G74" s="41" t="s">
        <v>9</v>
      </c>
      <c r="H74" s="47">
        <v>362</v>
      </c>
      <c r="I74" s="47">
        <v>126</v>
      </c>
      <c r="J74" s="47">
        <v>120</v>
      </c>
      <c r="K74" s="71">
        <v>930</v>
      </c>
      <c r="L74" s="71">
        <v>1455</v>
      </c>
      <c r="M74" s="41" t="s">
        <v>421</v>
      </c>
      <c r="N74" s="41">
        <v>280292</v>
      </c>
      <c r="O74" s="41" t="s">
        <v>422</v>
      </c>
      <c r="P74" s="41" t="s">
        <v>112</v>
      </c>
    </row>
    <row r="75" spans="1:17" s="30" customFormat="1" ht="51" customHeight="1">
      <c r="A75" s="35">
        <v>72</v>
      </c>
      <c r="B75" s="69" t="s">
        <v>134</v>
      </c>
      <c r="C75" s="70" t="s">
        <v>121</v>
      </c>
      <c r="D75" s="39" t="s">
        <v>547</v>
      </c>
      <c r="E75" s="40" t="s">
        <v>261</v>
      </c>
      <c r="F75" s="41">
        <v>3</v>
      </c>
      <c r="G75" s="41" t="s">
        <v>9</v>
      </c>
      <c r="H75" s="47">
        <v>362</v>
      </c>
      <c r="I75" s="47">
        <v>136</v>
      </c>
      <c r="J75" s="47">
        <v>175</v>
      </c>
      <c r="K75" s="72">
        <v>1155</v>
      </c>
      <c r="L75" s="72">
        <v>1555</v>
      </c>
      <c r="M75" s="41" t="s">
        <v>143</v>
      </c>
      <c r="N75" s="41">
        <v>280955</v>
      </c>
      <c r="O75" s="41" t="s">
        <v>437</v>
      </c>
      <c r="P75" s="41" t="s">
        <v>112</v>
      </c>
    </row>
    <row r="76" spans="1:17" s="30" customFormat="1" ht="51" customHeight="1">
      <c r="A76" s="35">
        <v>73</v>
      </c>
      <c r="B76" s="69" t="s">
        <v>135</v>
      </c>
      <c r="C76" s="70" t="s">
        <v>121</v>
      </c>
      <c r="D76" s="48"/>
      <c r="E76" s="40" t="s">
        <v>262</v>
      </c>
      <c r="F76" s="41">
        <v>3</v>
      </c>
      <c r="G76" s="41" t="s">
        <v>9</v>
      </c>
      <c r="H76" s="47">
        <v>362</v>
      </c>
      <c r="I76" s="47">
        <v>126</v>
      </c>
      <c r="J76" s="47">
        <v>120</v>
      </c>
      <c r="K76" s="71">
        <v>930</v>
      </c>
      <c r="L76" s="71">
        <v>1455</v>
      </c>
      <c r="M76" s="41" t="s">
        <v>421</v>
      </c>
      <c r="N76" s="41">
        <v>280291</v>
      </c>
      <c r="O76" s="41" t="s">
        <v>422</v>
      </c>
      <c r="P76" s="41" t="s">
        <v>112</v>
      </c>
    </row>
    <row r="77" spans="1:17" s="30" customFormat="1" ht="51" customHeight="1">
      <c r="A77" s="35">
        <v>74</v>
      </c>
      <c r="B77" s="69" t="s">
        <v>136</v>
      </c>
      <c r="C77" s="70" t="s">
        <v>78</v>
      </c>
      <c r="D77" s="49" t="s">
        <v>548</v>
      </c>
      <c r="E77" s="40" t="s">
        <v>263</v>
      </c>
      <c r="F77" s="41">
        <v>3</v>
      </c>
      <c r="G77" s="41" t="s">
        <v>9</v>
      </c>
      <c r="H77" s="47">
        <v>362</v>
      </c>
      <c r="I77" s="47">
        <v>126</v>
      </c>
      <c r="J77" s="47">
        <v>120</v>
      </c>
      <c r="K77" s="71">
        <v>930</v>
      </c>
      <c r="L77" s="71">
        <v>1455</v>
      </c>
      <c r="M77" s="41" t="s">
        <v>421</v>
      </c>
      <c r="N77" s="41">
        <v>280291</v>
      </c>
      <c r="O77" s="41" t="s">
        <v>422</v>
      </c>
      <c r="P77" s="41" t="s">
        <v>112</v>
      </c>
    </row>
    <row r="78" spans="1:17" s="30" customFormat="1" ht="51" customHeight="1">
      <c r="A78" s="35">
        <v>75</v>
      </c>
      <c r="B78" s="69" t="s">
        <v>137</v>
      </c>
      <c r="C78" s="70" t="s">
        <v>78</v>
      </c>
      <c r="D78" s="51"/>
      <c r="E78" s="40" t="s">
        <v>264</v>
      </c>
      <c r="F78" s="41">
        <v>3</v>
      </c>
      <c r="G78" s="41" t="s">
        <v>9</v>
      </c>
      <c r="H78" s="47">
        <v>362</v>
      </c>
      <c r="I78" s="47">
        <v>126</v>
      </c>
      <c r="J78" s="47">
        <v>120</v>
      </c>
      <c r="K78" s="71">
        <v>930</v>
      </c>
      <c r="L78" s="71">
        <v>1455</v>
      </c>
      <c r="M78" s="41" t="s">
        <v>421</v>
      </c>
      <c r="N78" s="41">
        <v>280291</v>
      </c>
      <c r="O78" s="41" t="s">
        <v>422</v>
      </c>
      <c r="P78" s="41" t="s">
        <v>112</v>
      </c>
    </row>
    <row r="79" spans="1:17" s="30" customFormat="1" ht="51" customHeight="1">
      <c r="A79" s="35">
        <v>76</v>
      </c>
      <c r="B79" s="69" t="s">
        <v>138</v>
      </c>
      <c r="C79" s="70" t="s">
        <v>79</v>
      </c>
      <c r="D79" s="52" t="s">
        <v>549</v>
      </c>
      <c r="E79" s="40" t="s">
        <v>265</v>
      </c>
      <c r="F79" s="41">
        <v>3</v>
      </c>
      <c r="G79" s="41" t="s">
        <v>9</v>
      </c>
      <c r="H79" s="47">
        <v>362</v>
      </c>
      <c r="I79" s="47">
        <v>136</v>
      </c>
      <c r="J79" s="47">
        <v>175</v>
      </c>
      <c r="K79" s="72">
        <v>1165</v>
      </c>
      <c r="L79" s="72">
        <v>1565</v>
      </c>
      <c r="M79" s="41" t="s">
        <v>143</v>
      </c>
      <c r="N79" s="41">
        <v>280955</v>
      </c>
      <c r="O79" s="41" t="s">
        <v>437</v>
      </c>
      <c r="P79" s="41" t="s">
        <v>112</v>
      </c>
    </row>
    <row r="80" spans="1:17" s="30" customFormat="1" ht="51" customHeight="1">
      <c r="A80" s="35">
        <v>77</v>
      </c>
      <c r="B80" s="69" t="s">
        <v>139</v>
      </c>
      <c r="C80" s="70" t="s">
        <v>79</v>
      </c>
      <c r="D80" s="54"/>
      <c r="E80" s="40" t="s">
        <v>266</v>
      </c>
      <c r="F80" s="41">
        <v>3</v>
      </c>
      <c r="G80" s="41" t="s">
        <v>9</v>
      </c>
      <c r="H80" s="47">
        <v>362</v>
      </c>
      <c r="I80" s="47">
        <v>126</v>
      </c>
      <c r="J80" s="47">
        <v>120</v>
      </c>
      <c r="K80" s="71">
        <v>930</v>
      </c>
      <c r="L80" s="71">
        <v>1455</v>
      </c>
      <c r="M80" s="41" t="s">
        <v>421</v>
      </c>
      <c r="N80" s="41">
        <v>280291</v>
      </c>
      <c r="O80" s="41" t="s">
        <v>422</v>
      </c>
      <c r="P80" s="41" t="s">
        <v>112</v>
      </c>
    </row>
    <row r="81" spans="1:17" s="30" customFormat="1" ht="51" customHeight="1">
      <c r="A81" s="35">
        <v>78</v>
      </c>
      <c r="B81" s="73" t="s">
        <v>144</v>
      </c>
      <c r="C81" s="74" t="s">
        <v>556</v>
      </c>
      <c r="D81" s="75" t="s">
        <v>552</v>
      </c>
      <c r="E81" s="40" t="s">
        <v>267</v>
      </c>
      <c r="F81" s="45">
        <v>6</v>
      </c>
      <c r="G81" s="41" t="s">
        <v>9</v>
      </c>
      <c r="H81" s="41">
        <v>352</v>
      </c>
      <c r="I81" s="41">
        <v>245</v>
      </c>
      <c r="J81" s="41">
        <v>155</v>
      </c>
      <c r="K81" s="42">
        <v>1040</v>
      </c>
      <c r="L81" s="42">
        <v>1635</v>
      </c>
      <c r="M81" s="41" t="s">
        <v>435</v>
      </c>
      <c r="N81" s="76">
        <v>280952</v>
      </c>
      <c r="O81" s="57">
        <v>45372</v>
      </c>
      <c r="P81" s="41" t="s">
        <v>168</v>
      </c>
      <c r="Q81" s="30" t="s">
        <v>93</v>
      </c>
    </row>
    <row r="82" spans="1:17" s="30" customFormat="1" ht="51" customHeight="1">
      <c r="A82" s="35">
        <v>79</v>
      </c>
      <c r="B82" s="73" t="s">
        <v>145</v>
      </c>
      <c r="C82" s="74" t="s">
        <v>556</v>
      </c>
      <c r="D82" s="77"/>
      <c r="E82" s="40" t="s">
        <v>268</v>
      </c>
      <c r="F82" s="45">
        <v>6</v>
      </c>
      <c r="G82" s="41" t="s">
        <v>9</v>
      </c>
      <c r="H82" s="41">
        <v>352</v>
      </c>
      <c r="I82" s="41">
        <v>245</v>
      </c>
      <c r="J82" s="41">
        <v>155</v>
      </c>
      <c r="K82" s="42">
        <v>1040</v>
      </c>
      <c r="L82" s="42">
        <v>1635</v>
      </c>
      <c r="M82" s="41" t="s">
        <v>435</v>
      </c>
      <c r="N82" s="76">
        <v>280952</v>
      </c>
      <c r="O82" s="57">
        <v>45372</v>
      </c>
      <c r="P82" s="41" t="s">
        <v>168</v>
      </c>
      <c r="Q82" s="30" t="s">
        <v>93</v>
      </c>
    </row>
    <row r="83" spans="1:17" s="30" customFormat="1" ht="51" customHeight="1">
      <c r="A83" s="35">
        <v>80</v>
      </c>
      <c r="B83" s="73" t="s">
        <v>146</v>
      </c>
      <c r="C83" s="74" t="s">
        <v>556</v>
      </c>
      <c r="D83" s="78" t="s">
        <v>557</v>
      </c>
      <c r="E83" s="40" t="s">
        <v>269</v>
      </c>
      <c r="F83" s="45">
        <v>2</v>
      </c>
      <c r="G83" s="41" t="s">
        <v>9</v>
      </c>
      <c r="H83" s="41">
        <v>410</v>
      </c>
      <c r="I83" s="41">
        <v>250</v>
      </c>
      <c r="J83" s="41">
        <v>113</v>
      </c>
      <c r="K83" s="42">
        <v>676</v>
      </c>
      <c r="L83" s="42">
        <v>1242</v>
      </c>
      <c r="M83" s="41" t="s">
        <v>416</v>
      </c>
      <c r="N83" s="79">
        <v>280280</v>
      </c>
      <c r="O83" s="41" t="s">
        <v>408</v>
      </c>
      <c r="P83" s="41" t="s">
        <v>169</v>
      </c>
      <c r="Q83" s="30" t="s">
        <v>94</v>
      </c>
    </row>
    <row r="84" spans="1:17" s="30" customFormat="1" ht="51" customHeight="1">
      <c r="A84" s="35">
        <v>81</v>
      </c>
      <c r="B84" s="73" t="s">
        <v>413</v>
      </c>
      <c r="C84" s="74" t="s">
        <v>556</v>
      </c>
      <c r="D84" s="80"/>
      <c r="E84" s="40" t="s">
        <v>270</v>
      </c>
      <c r="F84" s="45">
        <v>2</v>
      </c>
      <c r="G84" s="41" t="s">
        <v>9</v>
      </c>
      <c r="H84" s="41">
        <v>410</v>
      </c>
      <c r="I84" s="41">
        <v>250</v>
      </c>
      <c r="J84" s="41">
        <v>113</v>
      </c>
      <c r="K84" s="42">
        <v>676</v>
      </c>
      <c r="L84" s="42">
        <v>1240</v>
      </c>
      <c r="M84" s="41" t="s">
        <v>416</v>
      </c>
      <c r="N84" s="79">
        <v>280280</v>
      </c>
      <c r="O84" s="41" t="s">
        <v>408</v>
      </c>
      <c r="P84" s="41" t="s">
        <v>169</v>
      </c>
      <c r="Q84" s="30" t="s">
        <v>94</v>
      </c>
    </row>
    <row r="85" spans="1:17" s="30" customFormat="1" ht="51" customHeight="1">
      <c r="A85" s="35">
        <v>82</v>
      </c>
      <c r="B85" s="73" t="s">
        <v>147</v>
      </c>
      <c r="C85" s="74" t="s">
        <v>556</v>
      </c>
      <c r="D85" s="80"/>
      <c r="E85" s="40" t="s">
        <v>271</v>
      </c>
      <c r="F85" s="45">
        <v>2</v>
      </c>
      <c r="G85" s="41" t="s">
        <v>9</v>
      </c>
      <c r="H85" s="41">
        <v>410</v>
      </c>
      <c r="I85" s="41">
        <v>250</v>
      </c>
      <c r="J85" s="41">
        <v>112</v>
      </c>
      <c r="K85" s="42">
        <v>750</v>
      </c>
      <c r="L85" s="42">
        <v>1106</v>
      </c>
      <c r="M85" s="41" t="s">
        <v>424</v>
      </c>
      <c r="N85" s="76">
        <v>280295</v>
      </c>
      <c r="O85" s="41" t="s">
        <v>425</v>
      </c>
      <c r="P85" s="41" t="s">
        <v>20</v>
      </c>
      <c r="Q85" s="30" t="s">
        <v>95</v>
      </c>
    </row>
    <row r="86" spans="1:17" s="30" customFormat="1" ht="51" customHeight="1">
      <c r="A86" s="35">
        <v>83</v>
      </c>
      <c r="B86" s="73" t="s">
        <v>148</v>
      </c>
      <c r="C86" s="74" t="s">
        <v>556</v>
      </c>
      <c r="D86" s="80"/>
      <c r="E86" s="40" t="s">
        <v>272</v>
      </c>
      <c r="F86" s="45">
        <v>2</v>
      </c>
      <c r="G86" s="41" t="s">
        <v>9</v>
      </c>
      <c r="H86" s="41">
        <v>410</v>
      </c>
      <c r="I86" s="41">
        <v>250</v>
      </c>
      <c r="J86" s="41">
        <v>112</v>
      </c>
      <c r="K86" s="42">
        <v>765</v>
      </c>
      <c r="L86" s="42">
        <v>1160</v>
      </c>
      <c r="M86" s="41" t="s">
        <v>424</v>
      </c>
      <c r="N86" s="76">
        <v>280295</v>
      </c>
      <c r="O86" s="41" t="s">
        <v>425</v>
      </c>
      <c r="P86" s="41" t="s">
        <v>20</v>
      </c>
      <c r="Q86" s="30" t="s">
        <v>95</v>
      </c>
    </row>
    <row r="87" spans="1:17" s="30" customFormat="1" ht="51" customHeight="1">
      <c r="A87" s="35">
        <v>84</v>
      </c>
      <c r="B87" s="73" t="s">
        <v>149</v>
      </c>
      <c r="C87" s="74" t="s">
        <v>556</v>
      </c>
      <c r="D87" s="80"/>
      <c r="E87" s="40" t="s">
        <v>273</v>
      </c>
      <c r="F87" s="45">
        <v>2</v>
      </c>
      <c r="G87" s="41" t="s">
        <v>9</v>
      </c>
      <c r="H87" s="41">
        <v>410</v>
      </c>
      <c r="I87" s="41">
        <v>250</v>
      </c>
      <c r="J87" s="41">
        <v>110</v>
      </c>
      <c r="K87" s="42">
        <v>680</v>
      </c>
      <c r="L87" s="42">
        <v>1030</v>
      </c>
      <c r="M87" s="41" t="s">
        <v>417</v>
      </c>
      <c r="N87" s="79">
        <v>280281</v>
      </c>
      <c r="O87" s="41" t="s">
        <v>408</v>
      </c>
      <c r="P87" s="41" t="s">
        <v>171</v>
      </c>
      <c r="Q87" s="30" t="s">
        <v>103</v>
      </c>
    </row>
    <row r="88" spans="1:17" s="30" customFormat="1" ht="51" customHeight="1">
      <c r="A88" s="35">
        <v>85</v>
      </c>
      <c r="B88" s="73" t="s">
        <v>414</v>
      </c>
      <c r="C88" s="74" t="s">
        <v>556</v>
      </c>
      <c r="D88" s="80"/>
      <c r="E88" s="40" t="s">
        <v>274</v>
      </c>
      <c r="F88" s="45">
        <v>2</v>
      </c>
      <c r="G88" s="41" t="s">
        <v>9</v>
      </c>
      <c r="H88" s="41">
        <v>410</v>
      </c>
      <c r="I88" s="41">
        <v>250</v>
      </c>
      <c r="J88" s="41">
        <v>110</v>
      </c>
      <c r="K88" s="42">
        <v>750</v>
      </c>
      <c r="L88" s="42">
        <v>1220</v>
      </c>
      <c r="M88" s="41" t="s">
        <v>427</v>
      </c>
      <c r="N88" s="76">
        <v>280297</v>
      </c>
      <c r="O88" s="41" t="s">
        <v>425</v>
      </c>
      <c r="P88" s="41" t="s">
        <v>20</v>
      </c>
      <c r="Q88" s="30" t="s">
        <v>103</v>
      </c>
    </row>
    <row r="89" spans="1:17" s="30" customFormat="1" ht="51" customHeight="1">
      <c r="A89" s="35">
        <v>86</v>
      </c>
      <c r="B89" s="73" t="s">
        <v>150</v>
      </c>
      <c r="C89" s="74" t="s">
        <v>556</v>
      </c>
      <c r="D89" s="80"/>
      <c r="E89" s="40" t="s">
        <v>275</v>
      </c>
      <c r="F89" s="45">
        <v>6</v>
      </c>
      <c r="G89" s="41" t="s">
        <v>9</v>
      </c>
      <c r="H89" s="41">
        <v>234</v>
      </c>
      <c r="I89" s="41">
        <v>245</v>
      </c>
      <c r="J89" s="41">
        <v>203</v>
      </c>
      <c r="K89" s="42">
        <v>1146</v>
      </c>
      <c r="L89" s="42">
        <v>1708</v>
      </c>
      <c r="M89" s="41" t="s">
        <v>417</v>
      </c>
      <c r="N89" s="79">
        <v>280281</v>
      </c>
      <c r="O89" s="41" t="s">
        <v>408</v>
      </c>
      <c r="P89" s="41" t="s">
        <v>168</v>
      </c>
      <c r="Q89" s="30" t="s">
        <v>93</v>
      </c>
    </row>
    <row r="90" spans="1:17" s="30" customFormat="1" ht="51" customHeight="1">
      <c r="A90" s="35">
        <v>87</v>
      </c>
      <c r="B90" s="73" t="s">
        <v>151</v>
      </c>
      <c r="C90" s="74" t="s">
        <v>556</v>
      </c>
      <c r="D90" s="80"/>
      <c r="E90" s="40" t="s">
        <v>276</v>
      </c>
      <c r="F90" s="45">
        <v>6</v>
      </c>
      <c r="G90" s="41" t="s">
        <v>9</v>
      </c>
      <c r="H90" s="41">
        <v>234</v>
      </c>
      <c r="I90" s="41">
        <v>245</v>
      </c>
      <c r="J90" s="41">
        <v>197</v>
      </c>
      <c r="K90" s="42">
        <v>1146</v>
      </c>
      <c r="L90" s="42">
        <v>1680</v>
      </c>
      <c r="M90" s="41" t="s">
        <v>427</v>
      </c>
      <c r="N90" s="76">
        <v>280297</v>
      </c>
      <c r="O90" s="41" t="s">
        <v>425</v>
      </c>
      <c r="P90" s="41" t="s">
        <v>20</v>
      </c>
      <c r="Q90" s="30" t="s">
        <v>94</v>
      </c>
    </row>
    <row r="91" spans="1:17" s="30" customFormat="1" ht="51" customHeight="1">
      <c r="A91" s="35">
        <v>88</v>
      </c>
      <c r="B91" s="73" t="s">
        <v>152</v>
      </c>
      <c r="C91" s="74" t="s">
        <v>556</v>
      </c>
      <c r="D91" s="80"/>
      <c r="E91" s="40" t="s">
        <v>277</v>
      </c>
      <c r="F91" s="45">
        <v>3</v>
      </c>
      <c r="G91" s="41" t="s">
        <v>9</v>
      </c>
      <c r="H91" s="41">
        <v>234</v>
      </c>
      <c r="I91" s="41">
        <v>245</v>
      </c>
      <c r="J91" s="41">
        <v>114</v>
      </c>
      <c r="K91" s="42">
        <v>573</v>
      </c>
      <c r="L91" s="42">
        <v>930</v>
      </c>
      <c r="M91" s="41" t="s">
        <v>417</v>
      </c>
      <c r="N91" s="79">
        <v>280281</v>
      </c>
      <c r="O91" s="41" t="s">
        <v>408</v>
      </c>
      <c r="P91" s="41" t="s">
        <v>170</v>
      </c>
      <c r="Q91" s="30" t="s">
        <v>95</v>
      </c>
    </row>
    <row r="92" spans="1:17" s="30" customFormat="1" ht="51" customHeight="1">
      <c r="A92" s="35">
        <v>89</v>
      </c>
      <c r="B92" s="73" t="s">
        <v>153</v>
      </c>
      <c r="C92" s="74" t="s">
        <v>556</v>
      </c>
      <c r="D92" s="80"/>
      <c r="E92" s="40" t="s">
        <v>278</v>
      </c>
      <c r="F92" s="45">
        <v>3</v>
      </c>
      <c r="G92" s="41" t="s">
        <v>9</v>
      </c>
      <c r="H92" s="41">
        <v>220</v>
      </c>
      <c r="I92" s="41">
        <v>245</v>
      </c>
      <c r="J92" s="41">
        <v>87</v>
      </c>
      <c r="K92" s="42">
        <v>405</v>
      </c>
      <c r="L92" s="42">
        <v>745</v>
      </c>
      <c r="M92" s="41" t="s">
        <v>427</v>
      </c>
      <c r="N92" s="76">
        <v>280297</v>
      </c>
      <c r="O92" s="41" t="s">
        <v>425</v>
      </c>
      <c r="P92" s="41" t="s">
        <v>20</v>
      </c>
      <c r="Q92" s="30" t="s">
        <v>103</v>
      </c>
    </row>
    <row r="93" spans="1:17" s="30" customFormat="1" ht="51" customHeight="1">
      <c r="A93" s="35">
        <v>90</v>
      </c>
      <c r="B93" s="73" t="s">
        <v>154</v>
      </c>
      <c r="C93" s="74" t="s">
        <v>556</v>
      </c>
      <c r="D93" s="80"/>
      <c r="E93" s="40" t="s">
        <v>279</v>
      </c>
      <c r="F93" s="45">
        <v>6</v>
      </c>
      <c r="G93" s="41" t="s">
        <v>9</v>
      </c>
      <c r="H93" s="41">
        <v>220</v>
      </c>
      <c r="I93" s="41">
        <v>245</v>
      </c>
      <c r="J93" s="41">
        <v>158</v>
      </c>
      <c r="K93" s="42">
        <v>950</v>
      </c>
      <c r="L93" s="42">
        <v>1315</v>
      </c>
      <c r="M93" s="41" t="s">
        <v>426</v>
      </c>
      <c r="N93" s="79">
        <v>280296</v>
      </c>
      <c r="O93" s="41" t="s">
        <v>425</v>
      </c>
      <c r="P93" s="41" t="s">
        <v>20</v>
      </c>
      <c r="Q93" s="30" t="s">
        <v>104</v>
      </c>
    </row>
    <row r="94" spans="1:17" s="30" customFormat="1" ht="51" customHeight="1">
      <c r="A94" s="35">
        <v>91</v>
      </c>
      <c r="B94" s="73" t="s">
        <v>155</v>
      </c>
      <c r="C94" s="74" t="s">
        <v>556</v>
      </c>
      <c r="D94" s="80"/>
      <c r="E94" s="40" t="s">
        <v>280</v>
      </c>
      <c r="F94" s="45">
        <v>6</v>
      </c>
      <c r="G94" s="41" t="s">
        <v>9</v>
      </c>
      <c r="H94" s="41">
        <v>220</v>
      </c>
      <c r="I94" s="41">
        <v>245</v>
      </c>
      <c r="J94" s="41">
        <v>162</v>
      </c>
      <c r="K94" s="42">
        <v>980</v>
      </c>
      <c r="L94" s="42">
        <v>1370</v>
      </c>
      <c r="M94" s="41" t="s">
        <v>432</v>
      </c>
      <c r="N94" s="76">
        <v>280298</v>
      </c>
      <c r="O94" s="57">
        <v>45371</v>
      </c>
      <c r="P94" s="41" t="s">
        <v>172</v>
      </c>
      <c r="Q94" s="30" t="s">
        <v>104</v>
      </c>
    </row>
    <row r="95" spans="1:17" s="30" customFormat="1" ht="51" customHeight="1">
      <c r="A95" s="35">
        <v>92</v>
      </c>
      <c r="B95" s="81" t="s">
        <v>158</v>
      </c>
      <c r="C95" s="74" t="s">
        <v>556</v>
      </c>
      <c r="D95" s="80"/>
      <c r="E95" s="40" t="s">
        <v>281</v>
      </c>
      <c r="F95" s="45">
        <v>1</v>
      </c>
      <c r="G95" s="41" t="s">
        <v>9</v>
      </c>
      <c r="H95" s="41">
        <v>354</v>
      </c>
      <c r="I95" s="41">
        <v>288</v>
      </c>
      <c r="J95" s="41">
        <v>114</v>
      </c>
      <c r="K95" s="42">
        <v>469</v>
      </c>
      <c r="L95" s="42">
        <v>945</v>
      </c>
      <c r="M95" s="41" t="s">
        <v>436</v>
      </c>
      <c r="N95" s="76">
        <v>280954</v>
      </c>
      <c r="O95" s="41" t="s">
        <v>437</v>
      </c>
      <c r="P95" s="41" t="s">
        <v>112</v>
      </c>
      <c r="Q95" s="30" t="s">
        <v>104</v>
      </c>
    </row>
    <row r="96" spans="1:17" s="30" customFormat="1" ht="51" customHeight="1">
      <c r="A96" s="35">
        <v>93</v>
      </c>
      <c r="B96" s="81" t="s">
        <v>157</v>
      </c>
      <c r="C96" s="74" t="s">
        <v>556</v>
      </c>
      <c r="D96" s="80"/>
      <c r="E96" s="40" t="s">
        <v>282</v>
      </c>
      <c r="F96" s="45">
        <v>1</v>
      </c>
      <c r="G96" s="41" t="s">
        <v>9</v>
      </c>
      <c r="H96" s="41">
        <v>354</v>
      </c>
      <c r="I96" s="41">
        <v>288</v>
      </c>
      <c r="J96" s="41">
        <v>175</v>
      </c>
      <c r="K96" s="42">
        <v>690</v>
      </c>
      <c r="L96" s="42">
        <v>1135</v>
      </c>
      <c r="M96" s="41" t="s">
        <v>436</v>
      </c>
      <c r="N96" s="76">
        <v>280954</v>
      </c>
      <c r="O96" s="41" t="s">
        <v>437</v>
      </c>
      <c r="P96" s="41" t="s">
        <v>112</v>
      </c>
      <c r="Q96" s="30" t="s">
        <v>105</v>
      </c>
    </row>
    <row r="97" spans="1:17" s="30" customFormat="1" ht="51" customHeight="1">
      <c r="A97" s="35">
        <v>94</v>
      </c>
      <c r="B97" s="81" t="s">
        <v>156</v>
      </c>
      <c r="C97" s="74" t="s">
        <v>556</v>
      </c>
      <c r="D97" s="80"/>
      <c r="E97" s="40" t="s">
        <v>283</v>
      </c>
      <c r="F97" s="45">
        <v>1</v>
      </c>
      <c r="G97" s="41" t="s">
        <v>9</v>
      </c>
      <c r="H97" s="41">
        <v>354</v>
      </c>
      <c r="I97" s="41">
        <v>288</v>
      </c>
      <c r="J97" s="41">
        <v>114</v>
      </c>
      <c r="K97" s="42">
        <v>439</v>
      </c>
      <c r="L97" s="42">
        <v>970</v>
      </c>
      <c r="M97" s="41" t="s">
        <v>436</v>
      </c>
      <c r="N97" s="76">
        <v>280954</v>
      </c>
      <c r="O97" s="41" t="s">
        <v>437</v>
      </c>
      <c r="P97" s="41" t="s">
        <v>112</v>
      </c>
      <c r="Q97" s="30" t="s">
        <v>105</v>
      </c>
    </row>
    <row r="98" spans="1:17" s="30" customFormat="1" ht="51" customHeight="1">
      <c r="A98" s="35">
        <v>95</v>
      </c>
      <c r="B98" s="73" t="s">
        <v>159</v>
      </c>
      <c r="C98" s="74" t="s">
        <v>556</v>
      </c>
      <c r="D98" s="82"/>
      <c r="E98" s="40" t="s">
        <v>284</v>
      </c>
      <c r="F98" s="45">
        <v>3</v>
      </c>
      <c r="G98" s="41" t="s">
        <v>9</v>
      </c>
      <c r="H98" s="41">
        <v>202</v>
      </c>
      <c r="I98" s="41">
        <v>245</v>
      </c>
      <c r="J98" s="41">
        <v>106</v>
      </c>
      <c r="K98" s="42">
        <v>388</v>
      </c>
      <c r="L98" s="42">
        <v>650</v>
      </c>
      <c r="M98" s="41" t="s">
        <v>143</v>
      </c>
      <c r="N98" s="79">
        <v>280955</v>
      </c>
      <c r="O98" s="41" t="s">
        <v>437</v>
      </c>
      <c r="P98" s="41" t="s">
        <v>112</v>
      </c>
      <c r="Q98" s="30" t="s">
        <v>105</v>
      </c>
    </row>
    <row r="99" spans="1:17" s="30" customFormat="1" ht="51" customHeight="1">
      <c r="A99" s="35">
        <v>96</v>
      </c>
      <c r="B99" s="83" t="s">
        <v>446</v>
      </c>
      <c r="C99" s="74" t="s">
        <v>556</v>
      </c>
      <c r="D99" s="84" t="s">
        <v>553</v>
      </c>
      <c r="E99" s="40" t="s">
        <v>285</v>
      </c>
      <c r="F99" s="45">
        <v>2</v>
      </c>
      <c r="G99" s="41" t="s">
        <v>9</v>
      </c>
      <c r="H99" s="41">
        <v>694</v>
      </c>
      <c r="I99" s="41">
        <v>235</v>
      </c>
      <c r="J99" s="41">
        <v>108</v>
      </c>
      <c r="K99" s="42">
        <v>852</v>
      </c>
      <c r="L99" s="42">
        <v>1447</v>
      </c>
      <c r="M99" s="41" t="s">
        <v>445</v>
      </c>
      <c r="N99" s="76">
        <v>280968</v>
      </c>
      <c r="O99" s="57">
        <v>45374</v>
      </c>
      <c r="P99" s="41" t="s">
        <v>175</v>
      </c>
      <c r="Q99" s="30" t="s">
        <v>93</v>
      </c>
    </row>
    <row r="100" spans="1:17" s="30" customFormat="1" ht="51" customHeight="1">
      <c r="A100" s="35">
        <v>97</v>
      </c>
      <c r="B100" s="73" t="s">
        <v>161</v>
      </c>
      <c r="C100" s="74" t="s">
        <v>556</v>
      </c>
      <c r="D100" s="84"/>
      <c r="E100" s="40" t="s">
        <v>286</v>
      </c>
      <c r="F100" s="45">
        <v>2</v>
      </c>
      <c r="G100" s="41" t="s">
        <v>9</v>
      </c>
      <c r="H100" s="41">
        <v>679</v>
      </c>
      <c r="I100" s="41">
        <v>230</v>
      </c>
      <c r="J100" s="41">
        <v>115</v>
      </c>
      <c r="K100" s="42">
        <v>852</v>
      </c>
      <c r="L100" s="42">
        <v>1447</v>
      </c>
      <c r="M100" s="41" t="s">
        <v>438</v>
      </c>
      <c r="N100" s="76">
        <v>280964</v>
      </c>
      <c r="O100" s="57">
        <v>45373</v>
      </c>
      <c r="P100" s="41" t="s">
        <v>118</v>
      </c>
      <c r="Q100" s="30" t="s">
        <v>94</v>
      </c>
    </row>
    <row r="101" spans="1:17" s="30" customFormat="1" ht="51" customHeight="1">
      <c r="A101" s="35">
        <v>98</v>
      </c>
      <c r="B101" s="83" t="s">
        <v>448</v>
      </c>
      <c r="C101" s="74" t="s">
        <v>556</v>
      </c>
      <c r="D101" s="84"/>
      <c r="E101" s="40" t="s">
        <v>287</v>
      </c>
      <c r="F101" s="45">
        <v>2</v>
      </c>
      <c r="G101" s="41" t="s">
        <v>9</v>
      </c>
      <c r="H101" s="41">
        <v>679</v>
      </c>
      <c r="I101" s="41">
        <v>230</v>
      </c>
      <c r="J101" s="41">
        <v>120</v>
      </c>
      <c r="K101" s="42">
        <v>852</v>
      </c>
      <c r="L101" s="42">
        <v>1447</v>
      </c>
      <c r="M101" s="41" t="s">
        <v>454</v>
      </c>
      <c r="N101" s="79">
        <v>280956</v>
      </c>
      <c r="O101" s="57">
        <v>45375</v>
      </c>
      <c r="P101" s="41" t="s">
        <v>179</v>
      </c>
      <c r="Q101" s="30" t="s">
        <v>95</v>
      </c>
    </row>
    <row r="102" spans="1:17" s="30" customFormat="1" ht="51" customHeight="1">
      <c r="A102" s="35">
        <v>99</v>
      </c>
      <c r="B102" s="83" t="s">
        <v>449</v>
      </c>
      <c r="C102" s="74" t="s">
        <v>556</v>
      </c>
      <c r="D102" s="84"/>
      <c r="E102" s="40" t="s">
        <v>288</v>
      </c>
      <c r="F102" s="45">
        <v>2</v>
      </c>
      <c r="G102" s="41" t="s">
        <v>9</v>
      </c>
      <c r="H102" s="41">
        <v>679</v>
      </c>
      <c r="I102" s="41">
        <v>230</v>
      </c>
      <c r="J102" s="41">
        <v>120</v>
      </c>
      <c r="K102" s="42">
        <v>632</v>
      </c>
      <c r="L102" s="42">
        <v>1107</v>
      </c>
      <c r="M102" s="41" t="s">
        <v>453</v>
      </c>
      <c r="N102" s="76">
        <v>280969</v>
      </c>
      <c r="O102" s="57">
        <v>45375</v>
      </c>
      <c r="P102" s="41" t="s">
        <v>180</v>
      </c>
      <c r="Q102" s="30" t="s">
        <v>103</v>
      </c>
    </row>
    <row r="103" spans="1:17" s="30" customFormat="1" ht="51" customHeight="1">
      <c r="A103" s="35">
        <v>100</v>
      </c>
      <c r="B103" s="83" t="s">
        <v>450</v>
      </c>
      <c r="C103" s="74" t="s">
        <v>556</v>
      </c>
      <c r="D103" s="84"/>
      <c r="E103" s="40" t="s">
        <v>289</v>
      </c>
      <c r="F103" s="45">
        <v>2</v>
      </c>
      <c r="G103" s="41" t="s">
        <v>9</v>
      </c>
      <c r="H103" s="41">
        <v>679</v>
      </c>
      <c r="I103" s="41">
        <v>230</v>
      </c>
      <c r="J103" s="41">
        <v>120</v>
      </c>
      <c r="K103" s="42">
        <v>852</v>
      </c>
      <c r="L103" s="42">
        <v>1327</v>
      </c>
      <c r="M103" s="41" t="s">
        <v>452</v>
      </c>
      <c r="N103" s="76">
        <v>280970</v>
      </c>
      <c r="O103" s="57">
        <v>45375</v>
      </c>
      <c r="P103" s="41" t="s">
        <v>186</v>
      </c>
      <c r="Q103" s="30" t="s">
        <v>105</v>
      </c>
    </row>
    <row r="104" spans="1:17" s="30" customFormat="1" ht="51" customHeight="1">
      <c r="A104" s="35">
        <v>101</v>
      </c>
      <c r="B104" s="83" t="s">
        <v>451</v>
      </c>
      <c r="C104" s="74" t="s">
        <v>556</v>
      </c>
      <c r="D104" s="84"/>
      <c r="E104" s="40" t="s">
        <v>290</v>
      </c>
      <c r="F104" s="45">
        <v>2</v>
      </c>
      <c r="G104" s="41" t="s">
        <v>9</v>
      </c>
      <c r="H104" s="41">
        <v>679</v>
      </c>
      <c r="I104" s="41">
        <v>230</v>
      </c>
      <c r="J104" s="41">
        <v>120</v>
      </c>
      <c r="K104" s="42">
        <v>852</v>
      </c>
      <c r="L104" s="42">
        <v>1327</v>
      </c>
      <c r="M104" s="41" t="s">
        <v>455</v>
      </c>
      <c r="N104" s="79">
        <v>280973</v>
      </c>
      <c r="O104" s="57">
        <v>45375</v>
      </c>
      <c r="P104" s="41" t="s">
        <v>187</v>
      </c>
      <c r="Q104" s="30" t="s">
        <v>96</v>
      </c>
    </row>
    <row r="105" spans="1:17" s="30" customFormat="1" ht="51" customHeight="1">
      <c r="A105" s="35">
        <v>102</v>
      </c>
      <c r="B105" s="73" t="s">
        <v>526</v>
      </c>
      <c r="C105" s="74" t="s">
        <v>556</v>
      </c>
      <c r="D105" s="84"/>
      <c r="E105" s="40" t="s">
        <v>291</v>
      </c>
      <c r="F105" s="45">
        <v>2</v>
      </c>
      <c r="G105" s="41" t="s">
        <v>9</v>
      </c>
      <c r="H105" s="41">
        <v>404</v>
      </c>
      <c r="I105" s="41">
        <v>230</v>
      </c>
      <c r="J105" s="41">
        <v>105</v>
      </c>
      <c r="K105" s="42">
        <v>632</v>
      </c>
      <c r="L105" s="42">
        <v>1105</v>
      </c>
      <c r="M105" s="41" t="s">
        <v>529</v>
      </c>
      <c r="N105" s="76">
        <v>280979</v>
      </c>
      <c r="O105" s="41" t="s">
        <v>530</v>
      </c>
      <c r="P105" s="41" t="s">
        <v>112</v>
      </c>
      <c r="Q105" s="30" t="s">
        <v>19</v>
      </c>
    </row>
    <row r="106" spans="1:17" s="30" customFormat="1" ht="51" customHeight="1">
      <c r="A106" s="35">
        <v>103</v>
      </c>
      <c r="B106" s="73" t="s">
        <v>524</v>
      </c>
      <c r="C106" s="74" t="s">
        <v>556</v>
      </c>
      <c r="D106" s="84"/>
      <c r="E106" s="40" t="s">
        <v>292</v>
      </c>
      <c r="F106" s="45">
        <v>2</v>
      </c>
      <c r="G106" s="41" t="s">
        <v>9</v>
      </c>
      <c r="H106" s="41">
        <v>679</v>
      </c>
      <c r="I106" s="41">
        <v>230</v>
      </c>
      <c r="J106" s="41">
        <v>115</v>
      </c>
      <c r="K106" s="42">
        <v>1100</v>
      </c>
      <c r="L106" s="42">
        <v>1550</v>
      </c>
      <c r="M106" s="41" t="s">
        <v>522</v>
      </c>
      <c r="N106" s="79">
        <v>280976</v>
      </c>
      <c r="O106" s="57">
        <v>45377</v>
      </c>
      <c r="P106" s="41" t="s">
        <v>188</v>
      </c>
      <c r="Q106" s="30" t="s">
        <v>97</v>
      </c>
    </row>
    <row r="107" spans="1:17" s="30" customFormat="1" ht="51" customHeight="1">
      <c r="A107" s="35">
        <v>104</v>
      </c>
      <c r="B107" s="73" t="s">
        <v>442</v>
      </c>
      <c r="C107" s="74" t="s">
        <v>556</v>
      </c>
      <c r="D107" s="84"/>
      <c r="E107" s="40" t="s">
        <v>293</v>
      </c>
      <c r="F107" s="45">
        <v>2</v>
      </c>
      <c r="G107" s="41" t="s">
        <v>9</v>
      </c>
      <c r="H107" s="41">
        <v>681</v>
      </c>
      <c r="I107" s="41">
        <v>232</v>
      </c>
      <c r="J107" s="41">
        <v>116</v>
      </c>
      <c r="K107" s="42">
        <v>950</v>
      </c>
      <c r="L107" s="42">
        <v>1520</v>
      </c>
      <c r="M107" s="41" t="s">
        <v>444</v>
      </c>
      <c r="N107" s="76">
        <v>280966</v>
      </c>
      <c r="O107" s="41" t="s">
        <v>443</v>
      </c>
      <c r="P107" s="41" t="s">
        <v>20</v>
      </c>
      <c r="Q107" s="30" t="s">
        <v>98</v>
      </c>
    </row>
    <row r="108" spans="1:17" s="30" customFormat="1" ht="51" customHeight="1">
      <c r="A108" s="35">
        <v>105</v>
      </c>
      <c r="B108" s="73" t="s">
        <v>440</v>
      </c>
      <c r="C108" s="74" t="s">
        <v>556</v>
      </c>
      <c r="D108" s="84"/>
      <c r="E108" s="40" t="s">
        <v>294</v>
      </c>
      <c r="F108" s="45">
        <v>2</v>
      </c>
      <c r="G108" s="41" t="s">
        <v>9</v>
      </c>
      <c r="H108" s="41">
        <v>681</v>
      </c>
      <c r="I108" s="41">
        <v>231</v>
      </c>
      <c r="J108" s="41">
        <v>116</v>
      </c>
      <c r="K108" s="42">
        <v>822</v>
      </c>
      <c r="L108" s="42">
        <v>1233</v>
      </c>
      <c r="M108" s="41" t="s">
        <v>439</v>
      </c>
      <c r="N108" s="79">
        <v>280965</v>
      </c>
      <c r="O108" s="57">
        <v>45373</v>
      </c>
      <c r="P108" s="41" t="s">
        <v>189</v>
      </c>
      <c r="Q108" s="30" t="s">
        <v>106</v>
      </c>
    </row>
    <row r="109" spans="1:17" s="30" customFormat="1" ht="51" customHeight="1">
      <c r="A109" s="35">
        <v>106</v>
      </c>
      <c r="B109" s="73" t="s">
        <v>525</v>
      </c>
      <c r="C109" s="74" t="s">
        <v>556</v>
      </c>
      <c r="D109" s="84"/>
      <c r="E109" s="40" t="s">
        <v>295</v>
      </c>
      <c r="F109" s="45">
        <v>2</v>
      </c>
      <c r="G109" s="41" t="s">
        <v>9</v>
      </c>
      <c r="H109" s="41">
        <v>679</v>
      </c>
      <c r="I109" s="41">
        <v>230</v>
      </c>
      <c r="J109" s="41">
        <v>115</v>
      </c>
      <c r="K109" s="42">
        <v>822</v>
      </c>
      <c r="L109" s="42">
        <v>1525</v>
      </c>
      <c r="M109" s="41" t="s">
        <v>523</v>
      </c>
      <c r="N109" s="79">
        <v>280977</v>
      </c>
      <c r="O109" s="57">
        <v>45377</v>
      </c>
      <c r="P109" s="41" t="s">
        <v>184</v>
      </c>
      <c r="Q109" s="30" t="s">
        <v>107</v>
      </c>
    </row>
    <row r="110" spans="1:17" s="30" customFormat="1" ht="51" customHeight="1">
      <c r="A110" s="35">
        <v>107</v>
      </c>
      <c r="B110" s="73" t="s">
        <v>441</v>
      </c>
      <c r="C110" s="74" t="s">
        <v>556</v>
      </c>
      <c r="D110" s="84"/>
      <c r="E110" s="40" t="s">
        <v>296</v>
      </c>
      <c r="F110" s="45">
        <v>8</v>
      </c>
      <c r="G110" s="41" t="s">
        <v>9</v>
      </c>
      <c r="H110" s="41">
        <v>200</v>
      </c>
      <c r="I110" s="41">
        <v>245</v>
      </c>
      <c r="J110" s="41">
        <v>125</v>
      </c>
      <c r="K110" s="42">
        <v>610</v>
      </c>
      <c r="L110" s="42">
        <v>980</v>
      </c>
      <c r="M110" s="41" t="s">
        <v>444</v>
      </c>
      <c r="N110" s="76">
        <v>280966</v>
      </c>
      <c r="O110" s="41" t="s">
        <v>443</v>
      </c>
      <c r="P110" s="41" t="s">
        <v>20</v>
      </c>
      <c r="Q110" s="30" t="s">
        <v>103</v>
      </c>
    </row>
    <row r="111" spans="1:17" s="30" customFormat="1" ht="51" customHeight="1">
      <c r="A111" s="35">
        <v>108</v>
      </c>
      <c r="B111" s="73" t="s">
        <v>544</v>
      </c>
      <c r="C111" s="74" t="s">
        <v>556</v>
      </c>
      <c r="D111" s="84"/>
      <c r="E111" s="40" t="s">
        <v>297</v>
      </c>
      <c r="F111" s="45">
        <v>2</v>
      </c>
      <c r="G111" s="41" t="s">
        <v>9</v>
      </c>
      <c r="H111" s="41">
        <v>300</v>
      </c>
      <c r="I111" s="41">
        <v>240</v>
      </c>
      <c r="J111" s="41">
        <v>108</v>
      </c>
      <c r="K111" s="42">
        <v>540</v>
      </c>
      <c r="L111" s="42">
        <v>975</v>
      </c>
      <c r="M111" s="41" t="s">
        <v>543</v>
      </c>
      <c r="N111" s="76">
        <v>280980</v>
      </c>
      <c r="O111" s="41" t="s">
        <v>530</v>
      </c>
      <c r="P111" s="41" t="s">
        <v>112</v>
      </c>
      <c r="Q111" s="30" t="s">
        <v>93</v>
      </c>
    </row>
    <row r="112" spans="1:17" s="30" customFormat="1" ht="51" customHeight="1">
      <c r="A112" s="35">
        <v>109</v>
      </c>
      <c r="B112" s="73" t="s">
        <v>542</v>
      </c>
      <c r="C112" s="74" t="s">
        <v>556</v>
      </c>
      <c r="D112" s="84"/>
      <c r="E112" s="40" t="s">
        <v>298</v>
      </c>
      <c r="F112" s="45">
        <v>4</v>
      </c>
      <c r="G112" s="41" t="s">
        <v>9</v>
      </c>
      <c r="H112" s="41">
        <v>694</v>
      </c>
      <c r="I112" s="41">
        <v>235</v>
      </c>
      <c r="J112" s="41">
        <v>109</v>
      </c>
      <c r="K112" s="42">
        <f>540+496</f>
        <v>1036</v>
      </c>
      <c r="L112" s="42">
        <v>1695</v>
      </c>
      <c r="M112" s="41" t="s">
        <v>543</v>
      </c>
      <c r="N112" s="76">
        <v>280980</v>
      </c>
      <c r="O112" s="41" t="s">
        <v>530</v>
      </c>
      <c r="P112" s="41" t="s">
        <v>112</v>
      </c>
      <c r="Q112" s="30" t="s">
        <v>94</v>
      </c>
    </row>
    <row r="113" spans="1:17" s="30" customFormat="1" ht="51" customHeight="1">
      <c r="A113" s="35">
        <v>110</v>
      </c>
      <c r="B113" s="73" t="s">
        <v>174</v>
      </c>
      <c r="C113" s="74" t="s">
        <v>556</v>
      </c>
      <c r="D113" s="85" t="s">
        <v>552</v>
      </c>
      <c r="E113" s="40" t="s">
        <v>299</v>
      </c>
      <c r="F113" s="45">
        <v>2</v>
      </c>
      <c r="G113" s="41" t="s">
        <v>9</v>
      </c>
      <c r="H113" s="41">
        <v>424</v>
      </c>
      <c r="I113" s="41">
        <v>140</v>
      </c>
      <c r="J113" s="41">
        <v>82</v>
      </c>
      <c r="K113" s="42">
        <v>392</v>
      </c>
      <c r="L113" s="42">
        <v>690</v>
      </c>
      <c r="M113" s="41" t="s">
        <v>433</v>
      </c>
      <c r="N113" s="76">
        <v>280951</v>
      </c>
      <c r="O113" s="57">
        <v>45372</v>
      </c>
      <c r="P113" s="41" t="s">
        <v>176</v>
      </c>
      <c r="Q113" s="30" t="s">
        <v>18</v>
      </c>
    </row>
    <row r="114" spans="1:17" s="30" customFormat="1" ht="51" customHeight="1">
      <c r="A114" s="36">
        <v>111</v>
      </c>
      <c r="B114" s="86" t="s">
        <v>565</v>
      </c>
      <c r="C114" s="74" t="s">
        <v>556</v>
      </c>
      <c r="D114" s="84" t="s">
        <v>553</v>
      </c>
      <c r="E114" s="87" t="s">
        <v>300</v>
      </c>
      <c r="F114" s="88">
        <v>2</v>
      </c>
      <c r="G114" s="89" t="s">
        <v>9</v>
      </c>
      <c r="H114" s="89">
        <v>533</v>
      </c>
      <c r="I114" s="89">
        <v>180</v>
      </c>
      <c r="J114" s="89">
        <v>104</v>
      </c>
      <c r="K114" s="90">
        <v>810</v>
      </c>
      <c r="L114" s="90">
        <v>1200</v>
      </c>
      <c r="M114" s="89"/>
      <c r="N114" s="89"/>
      <c r="O114" s="89"/>
      <c r="P114" s="89"/>
      <c r="Q114" s="30" t="s">
        <v>103</v>
      </c>
    </row>
    <row r="115" spans="1:17" s="30" customFormat="1" ht="51" customHeight="1">
      <c r="A115" s="35">
        <v>112</v>
      </c>
      <c r="B115" s="83" t="s">
        <v>160</v>
      </c>
      <c r="C115" s="74" t="s">
        <v>556</v>
      </c>
      <c r="D115" s="84"/>
      <c r="E115" s="40" t="s">
        <v>301</v>
      </c>
      <c r="F115" s="45">
        <v>2</v>
      </c>
      <c r="G115" s="41" t="s">
        <v>9</v>
      </c>
      <c r="H115" s="41">
        <v>694</v>
      </c>
      <c r="I115" s="41">
        <v>180</v>
      </c>
      <c r="J115" s="41">
        <v>110</v>
      </c>
      <c r="K115" s="42">
        <v>730</v>
      </c>
      <c r="L115" s="42">
        <v>1355</v>
      </c>
      <c r="M115" s="41" t="s">
        <v>567</v>
      </c>
      <c r="N115" s="76">
        <v>280983</v>
      </c>
      <c r="O115" s="57">
        <v>45379</v>
      </c>
      <c r="P115" s="41" t="s">
        <v>173</v>
      </c>
      <c r="Q115" s="30" t="s">
        <v>17</v>
      </c>
    </row>
    <row r="116" spans="1:17" s="30" customFormat="1" ht="51" customHeight="1">
      <c r="A116" s="35">
        <v>113</v>
      </c>
      <c r="B116" s="83" t="s">
        <v>566</v>
      </c>
      <c r="C116" s="74" t="s">
        <v>556</v>
      </c>
      <c r="D116" s="84"/>
      <c r="E116" s="40" t="s">
        <v>302</v>
      </c>
      <c r="F116" s="45">
        <v>2</v>
      </c>
      <c r="G116" s="41" t="s">
        <v>9</v>
      </c>
      <c r="H116" s="41">
        <v>425</v>
      </c>
      <c r="I116" s="41">
        <v>170</v>
      </c>
      <c r="J116" s="41">
        <v>108</v>
      </c>
      <c r="K116" s="42">
        <v>592</v>
      </c>
      <c r="L116" s="42">
        <v>940</v>
      </c>
      <c r="M116" s="41" t="s">
        <v>567</v>
      </c>
      <c r="N116" s="76">
        <v>280983</v>
      </c>
      <c r="O116" s="57">
        <v>45379</v>
      </c>
      <c r="P116" s="41" t="s">
        <v>173</v>
      </c>
      <c r="Q116" s="30" t="s">
        <v>17</v>
      </c>
    </row>
    <row r="117" spans="1:17" s="30" customFormat="1" ht="51" customHeight="1">
      <c r="A117" s="35">
        <v>114</v>
      </c>
      <c r="B117" s="73" t="s">
        <v>162</v>
      </c>
      <c r="C117" s="74" t="s">
        <v>556</v>
      </c>
      <c r="D117" s="84"/>
      <c r="E117" s="40" t="s">
        <v>303</v>
      </c>
      <c r="F117" s="45">
        <v>2</v>
      </c>
      <c r="G117" s="41" t="s">
        <v>9</v>
      </c>
      <c r="H117" s="41">
        <v>362</v>
      </c>
      <c r="I117" s="41">
        <v>180</v>
      </c>
      <c r="J117" s="41">
        <v>107</v>
      </c>
      <c r="K117" s="42">
        <v>710</v>
      </c>
      <c r="L117" s="42">
        <v>950</v>
      </c>
      <c r="M117" s="41" t="s">
        <v>560</v>
      </c>
      <c r="N117" s="79">
        <v>280984</v>
      </c>
      <c r="O117" s="57">
        <v>45382</v>
      </c>
      <c r="P117" s="41" t="s">
        <v>561</v>
      </c>
      <c r="Q117" s="30" t="s">
        <v>95</v>
      </c>
    </row>
    <row r="118" spans="1:17" s="30" customFormat="1" ht="51" customHeight="1">
      <c r="A118" s="35">
        <v>115</v>
      </c>
      <c r="B118" s="73" t="s">
        <v>527</v>
      </c>
      <c r="C118" s="74" t="s">
        <v>556</v>
      </c>
      <c r="D118" s="84"/>
      <c r="E118" s="40" t="s">
        <v>304</v>
      </c>
      <c r="F118" s="45">
        <v>2</v>
      </c>
      <c r="G118" s="41" t="s">
        <v>9</v>
      </c>
      <c r="H118" s="41">
        <v>362</v>
      </c>
      <c r="I118" s="41">
        <v>230</v>
      </c>
      <c r="J118" s="41">
        <v>110</v>
      </c>
      <c r="K118" s="42">
        <v>816</v>
      </c>
      <c r="L118" s="42">
        <v>1300</v>
      </c>
      <c r="M118" s="41" t="s">
        <v>529</v>
      </c>
      <c r="N118" s="76">
        <v>280979</v>
      </c>
      <c r="O118" s="41" t="s">
        <v>530</v>
      </c>
      <c r="P118" s="41" t="s">
        <v>112</v>
      </c>
      <c r="Q118" s="30" t="s">
        <v>105</v>
      </c>
    </row>
    <row r="119" spans="1:17" s="30" customFormat="1" ht="51" customHeight="1">
      <c r="A119" s="35">
        <v>116</v>
      </c>
      <c r="B119" s="73" t="s">
        <v>528</v>
      </c>
      <c r="C119" s="74" t="s">
        <v>556</v>
      </c>
      <c r="D119" s="84"/>
      <c r="E119" s="40" t="s">
        <v>305</v>
      </c>
      <c r="F119" s="45">
        <v>2</v>
      </c>
      <c r="G119" s="41" t="s">
        <v>9</v>
      </c>
      <c r="H119" s="41">
        <v>375</v>
      </c>
      <c r="I119" s="41">
        <v>230</v>
      </c>
      <c r="J119" s="41">
        <v>109</v>
      </c>
      <c r="K119" s="42">
        <v>810</v>
      </c>
      <c r="L119" s="42">
        <v>1265</v>
      </c>
      <c r="M119" s="41" t="s">
        <v>529</v>
      </c>
      <c r="N119" s="76">
        <v>280979</v>
      </c>
      <c r="O119" s="41" t="s">
        <v>530</v>
      </c>
      <c r="P119" s="41" t="s">
        <v>112</v>
      </c>
      <c r="Q119" s="30" t="s">
        <v>19</v>
      </c>
    </row>
    <row r="120" spans="1:17" s="33" customFormat="1" ht="51" customHeight="1">
      <c r="A120" s="35">
        <v>117</v>
      </c>
      <c r="B120" s="91" t="s">
        <v>447</v>
      </c>
      <c r="C120" s="74" t="s">
        <v>556</v>
      </c>
      <c r="D120" s="84"/>
      <c r="E120" s="40" t="s">
        <v>306</v>
      </c>
      <c r="F120" s="41">
        <v>8</v>
      </c>
      <c r="G120" s="41" t="s">
        <v>9</v>
      </c>
      <c r="H120" s="41">
        <v>320</v>
      </c>
      <c r="I120" s="41">
        <v>250</v>
      </c>
      <c r="J120" s="41">
        <v>138</v>
      </c>
      <c r="K120" s="42">
        <v>717</v>
      </c>
      <c r="L120" s="42">
        <v>987</v>
      </c>
      <c r="M120" s="41" t="s">
        <v>445</v>
      </c>
      <c r="N120" s="76">
        <v>280968</v>
      </c>
      <c r="O120" s="57">
        <v>45374</v>
      </c>
      <c r="P120" s="41" t="s">
        <v>185</v>
      </c>
      <c r="Q120" s="33" t="s">
        <v>104</v>
      </c>
    </row>
    <row r="121" spans="1:17" s="30" customFormat="1" ht="51" customHeight="1">
      <c r="A121" s="35">
        <v>118</v>
      </c>
      <c r="B121" s="73" t="s">
        <v>568</v>
      </c>
      <c r="C121" s="74" t="s">
        <v>556</v>
      </c>
      <c r="D121" s="84"/>
      <c r="E121" s="40" t="s">
        <v>307</v>
      </c>
      <c r="F121" s="45">
        <v>4</v>
      </c>
      <c r="G121" s="41" t="s">
        <v>9</v>
      </c>
      <c r="H121" s="41">
        <v>663</v>
      </c>
      <c r="I121" s="41">
        <v>250</v>
      </c>
      <c r="J121" s="41">
        <v>108</v>
      </c>
      <c r="K121" s="42">
        <v>1148</v>
      </c>
      <c r="L121" s="42">
        <v>2050</v>
      </c>
      <c r="M121" s="41" t="s">
        <v>571</v>
      </c>
      <c r="N121" s="76">
        <v>281011</v>
      </c>
      <c r="O121" s="57">
        <v>45384</v>
      </c>
      <c r="P121" s="41" t="s">
        <v>20</v>
      </c>
      <c r="Q121" s="30" t="s">
        <v>19</v>
      </c>
    </row>
    <row r="122" spans="1:17" s="30" customFormat="1" ht="51" customHeight="1">
      <c r="A122" s="36">
        <v>119</v>
      </c>
      <c r="B122" s="86" t="s">
        <v>569</v>
      </c>
      <c r="C122" s="74" t="s">
        <v>556</v>
      </c>
      <c r="D122" s="84"/>
      <c r="E122" s="87" t="s">
        <v>308</v>
      </c>
      <c r="F122" s="88">
        <v>2</v>
      </c>
      <c r="G122" s="89" t="s">
        <v>9</v>
      </c>
      <c r="H122" s="89">
        <v>713</v>
      </c>
      <c r="I122" s="89">
        <v>180</v>
      </c>
      <c r="J122" s="89">
        <v>104</v>
      </c>
      <c r="K122" s="90">
        <v>922</v>
      </c>
      <c r="L122" s="90">
        <v>1272</v>
      </c>
      <c r="M122" s="89"/>
      <c r="N122" s="89"/>
      <c r="O122" s="89"/>
      <c r="P122" s="89"/>
      <c r="Q122" s="30" t="s">
        <v>18</v>
      </c>
    </row>
    <row r="123" spans="1:17" s="30" customFormat="1" ht="51" customHeight="1">
      <c r="A123" s="35">
        <v>120</v>
      </c>
      <c r="B123" s="73" t="s">
        <v>163</v>
      </c>
      <c r="C123" s="74" t="s">
        <v>556</v>
      </c>
      <c r="D123" s="84"/>
      <c r="E123" s="40" t="s">
        <v>309</v>
      </c>
      <c r="F123" s="45">
        <v>2</v>
      </c>
      <c r="G123" s="41" t="s">
        <v>9</v>
      </c>
      <c r="H123" s="41">
        <v>694</v>
      </c>
      <c r="I123" s="41">
        <v>235</v>
      </c>
      <c r="J123" s="41">
        <v>114</v>
      </c>
      <c r="K123" s="42">
        <v>849</v>
      </c>
      <c r="L123" s="42">
        <v>1635</v>
      </c>
      <c r="M123" s="41" t="s">
        <v>562</v>
      </c>
      <c r="N123" s="79">
        <v>281012</v>
      </c>
      <c r="O123" s="57">
        <v>45384</v>
      </c>
      <c r="P123" s="41" t="s">
        <v>181</v>
      </c>
      <c r="Q123" s="30" t="s">
        <v>99</v>
      </c>
    </row>
    <row r="124" spans="1:17" s="30" customFormat="1" ht="51" customHeight="1">
      <c r="A124" s="35">
        <v>121</v>
      </c>
      <c r="B124" s="73" t="s">
        <v>164</v>
      </c>
      <c r="C124" s="74" t="s">
        <v>556</v>
      </c>
      <c r="D124" s="84"/>
      <c r="E124" s="40" t="s">
        <v>310</v>
      </c>
      <c r="F124" s="45">
        <v>2</v>
      </c>
      <c r="G124" s="41" t="s">
        <v>9</v>
      </c>
      <c r="H124" s="41">
        <v>424</v>
      </c>
      <c r="I124" s="41">
        <v>230</v>
      </c>
      <c r="J124" s="41">
        <v>115</v>
      </c>
      <c r="K124" s="42">
        <v>660</v>
      </c>
      <c r="L124" s="42">
        <v>955</v>
      </c>
      <c r="M124" s="41" t="s">
        <v>455</v>
      </c>
      <c r="N124" s="76">
        <v>281009</v>
      </c>
      <c r="O124" s="57">
        <v>45383</v>
      </c>
      <c r="P124" s="41" t="s">
        <v>15</v>
      </c>
      <c r="Q124" s="30" t="s">
        <v>178</v>
      </c>
    </row>
    <row r="125" spans="1:17" s="30" customFormat="1" ht="51" customHeight="1">
      <c r="A125" s="35">
        <v>122</v>
      </c>
      <c r="B125" s="73" t="s">
        <v>165</v>
      </c>
      <c r="C125" s="74" t="s">
        <v>556</v>
      </c>
      <c r="D125" s="84"/>
      <c r="E125" s="40" t="s">
        <v>311</v>
      </c>
      <c r="F125" s="45">
        <v>2</v>
      </c>
      <c r="G125" s="41" t="s">
        <v>9</v>
      </c>
      <c r="H125" s="41">
        <v>750</v>
      </c>
      <c r="I125" s="41">
        <v>240</v>
      </c>
      <c r="J125" s="41">
        <v>120</v>
      </c>
      <c r="K125" s="42">
        <v>1010</v>
      </c>
      <c r="L125" s="42">
        <v>1770</v>
      </c>
      <c r="M125" s="41" t="s">
        <v>572</v>
      </c>
      <c r="N125" s="79">
        <v>280987</v>
      </c>
      <c r="O125" s="57">
        <v>45390</v>
      </c>
      <c r="P125" s="41" t="s">
        <v>112</v>
      </c>
      <c r="Q125" s="30" t="s">
        <v>104</v>
      </c>
    </row>
    <row r="126" spans="1:17" s="30" customFormat="1" ht="51" customHeight="1">
      <c r="A126" s="35">
        <v>123</v>
      </c>
      <c r="B126" s="73" t="s">
        <v>570</v>
      </c>
      <c r="C126" s="74" t="s">
        <v>556</v>
      </c>
      <c r="D126" s="84"/>
      <c r="E126" s="40" t="s">
        <v>312</v>
      </c>
      <c r="F126" s="45">
        <v>2</v>
      </c>
      <c r="G126" s="41" t="s">
        <v>9</v>
      </c>
      <c r="H126" s="41">
        <v>431</v>
      </c>
      <c r="I126" s="41">
        <v>245</v>
      </c>
      <c r="J126" s="41">
        <v>120</v>
      </c>
      <c r="K126" s="42">
        <v>850</v>
      </c>
      <c r="L126" s="42">
        <v>1240</v>
      </c>
      <c r="M126" s="41" t="s">
        <v>572</v>
      </c>
      <c r="N126" s="79">
        <v>280987</v>
      </c>
      <c r="O126" s="57">
        <v>45390</v>
      </c>
      <c r="P126" s="41" t="s">
        <v>112</v>
      </c>
      <c r="Q126" s="30" t="s">
        <v>177</v>
      </c>
    </row>
    <row r="127" spans="1:17" s="30" customFormat="1" ht="51" customHeight="1">
      <c r="A127" s="35">
        <v>124</v>
      </c>
      <c r="B127" s="73" t="s">
        <v>166</v>
      </c>
      <c r="C127" s="74" t="s">
        <v>556</v>
      </c>
      <c r="D127" s="92" t="s">
        <v>552</v>
      </c>
      <c r="E127" s="40" t="s">
        <v>313</v>
      </c>
      <c r="F127" s="45">
        <v>3</v>
      </c>
      <c r="G127" s="41" t="s">
        <v>9</v>
      </c>
      <c r="H127" s="41">
        <v>746</v>
      </c>
      <c r="I127" s="41">
        <v>190</v>
      </c>
      <c r="J127" s="41">
        <v>105</v>
      </c>
      <c r="K127" s="42">
        <v>769</v>
      </c>
      <c r="L127" s="42">
        <v>1500</v>
      </c>
      <c r="M127" s="41" t="s">
        <v>434</v>
      </c>
      <c r="N127" s="76">
        <v>280953</v>
      </c>
      <c r="O127" s="57">
        <v>45372</v>
      </c>
      <c r="P127" s="41" t="s">
        <v>183</v>
      </c>
      <c r="Q127" s="30" t="s">
        <v>178</v>
      </c>
    </row>
    <row r="128" spans="1:17" s="30" customFormat="1" ht="51" customHeight="1">
      <c r="A128" s="35">
        <v>125</v>
      </c>
      <c r="B128" s="73" t="s">
        <v>167</v>
      </c>
      <c r="C128" s="74" t="s">
        <v>556</v>
      </c>
      <c r="D128" s="92"/>
      <c r="E128" s="40" t="s">
        <v>314</v>
      </c>
      <c r="F128" s="45">
        <v>2</v>
      </c>
      <c r="G128" s="41" t="s">
        <v>9</v>
      </c>
      <c r="H128" s="41">
        <v>532</v>
      </c>
      <c r="I128" s="41">
        <v>191</v>
      </c>
      <c r="J128" s="41">
        <v>81</v>
      </c>
      <c r="K128" s="42">
        <v>616</v>
      </c>
      <c r="L128" s="42">
        <v>1000</v>
      </c>
      <c r="M128" s="41" t="s">
        <v>433</v>
      </c>
      <c r="N128" s="76">
        <v>280951</v>
      </c>
      <c r="O128" s="57">
        <v>45372</v>
      </c>
      <c r="P128" s="41" t="s">
        <v>182</v>
      </c>
      <c r="Q128" s="30" t="s">
        <v>177</v>
      </c>
    </row>
    <row r="129" spans="1:16" s="33" customFormat="1" ht="51" customHeight="1">
      <c r="A129" s="35">
        <v>126</v>
      </c>
      <c r="B129" s="40" t="s">
        <v>325</v>
      </c>
      <c r="C129" s="74" t="s">
        <v>556</v>
      </c>
      <c r="D129" s="78" t="s">
        <v>554</v>
      </c>
      <c r="E129" s="40" t="s">
        <v>317</v>
      </c>
      <c r="F129" s="41">
        <v>10</v>
      </c>
      <c r="G129" s="41" t="s">
        <v>9</v>
      </c>
      <c r="H129" s="41">
        <v>134</v>
      </c>
      <c r="I129" s="41">
        <v>96</v>
      </c>
      <c r="J129" s="41">
        <v>105</v>
      </c>
      <c r="K129" s="42">
        <v>950</v>
      </c>
      <c r="L129" s="42">
        <v>970</v>
      </c>
      <c r="M129" s="41" t="s">
        <v>333</v>
      </c>
      <c r="N129" s="41"/>
      <c r="O129" s="57">
        <v>45365</v>
      </c>
      <c r="P129" s="41" t="s">
        <v>118</v>
      </c>
    </row>
    <row r="130" spans="1:16" s="33" customFormat="1" ht="51" customHeight="1">
      <c r="A130" s="35">
        <v>127</v>
      </c>
      <c r="B130" s="40" t="s">
        <v>326</v>
      </c>
      <c r="C130" s="74" t="s">
        <v>556</v>
      </c>
      <c r="D130" s="80"/>
      <c r="E130" s="40" t="s">
        <v>318</v>
      </c>
      <c r="F130" s="41">
        <v>10</v>
      </c>
      <c r="G130" s="41" t="s">
        <v>9</v>
      </c>
      <c r="H130" s="41">
        <v>134</v>
      </c>
      <c r="I130" s="41">
        <v>96</v>
      </c>
      <c r="J130" s="41">
        <v>105</v>
      </c>
      <c r="K130" s="42">
        <v>950</v>
      </c>
      <c r="L130" s="42">
        <v>970</v>
      </c>
      <c r="M130" s="41" t="s">
        <v>333</v>
      </c>
      <c r="N130" s="41"/>
      <c r="O130" s="57">
        <v>45365</v>
      </c>
      <c r="P130" s="41" t="s">
        <v>118</v>
      </c>
    </row>
    <row r="131" spans="1:16" s="33" customFormat="1" ht="51" customHeight="1">
      <c r="A131" s="35">
        <v>128</v>
      </c>
      <c r="B131" s="40" t="s">
        <v>327</v>
      </c>
      <c r="C131" s="74" t="s">
        <v>556</v>
      </c>
      <c r="D131" s="80"/>
      <c r="E131" s="40" t="s">
        <v>319</v>
      </c>
      <c r="F131" s="41">
        <v>10</v>
      </c>
      <c r="G131" s="41" t="s">
        <v>9</v>
      </c>
      <c r="H131" s="41">
        <v>134</v>
      </c>
      <c r="I131" s="41">
        <v>96</v>
      </c>
      <c r="J131" s="41">
        <v>105</v>
      </c>
      <c r="K131" s="42">
        <v>950</v>
      </c>
      <c r="L131" s="42">
        <v>970</v>
      </c>
      <c r="M131" s="41" t="s">
        <v>333</v>
      </c>
      <c r="N131" s="41"/>
      <c r="O131" s="57">
        <v>45365</v>
      </c>
      <c r="P131" s="41" t="s">
        <v>118</v>
      </c>
    </row>
    <row r="132" spans="1:16" s="33" customFormat="1" ht="51" customHeight="1">
      <c r="A132" s="35">
        <v>129</v>
      </c>
      <c r="B132" s="40" t="s">
        <v>328</v>
      </c>
      <c r="C132" s="74" t="s">
        <v>556</v>
      </c>
      <c r="D132" s="80"/>
      <c r="E132" s="40" t="s">
        <v>320</v>
      </c>
      <c r="F132" s="41">
        <v>10</v>
      </c>
      <c r="G132" s="41" t="s">
        <v>9</v>
      </c>
      <c r="H132" s="41">
        <v>134</v>
      </c>
      <c r="I132" s="41">
        <v>96</v>
      </c>
      <c r="J132" s="41">
        <v>105</v>
      </c>
      <c r="K132" s="42">
        <v>950</v>
      </c>
      <c r="L132" s="42">
        <v>970</v>
      </c>
      <c r="M132" s="41" t="s">
        <v>333</v>
      </c>
      <c r="N132" s="41"/>
      <c r="O132" s="57">
        <v>45365</v>
      </c>
      <c r="P132" s="41" t="s">
        <v>118</v>
      </c>
    </row>
    <row r="133" spans="1:16" s="33" customFormat="1" ht="51" customHeight="1">
      <c r="A133" s="35">
        <v>130</v>
      </c>
      <c r="B133" s="40" t="s">
        <v>329</v>
      </c>
      <c r="C133" s="74" t="s">
        <v>556</v>
      </c>
      <c r="D133" s="80"/>
      <c r="E133" s="40" t="s">
        <v>321</v>
      </c>
      <c r="F133" s="41">
        <v>10</v>
      </c>
      <c r="G133" s="41" t="s">
        <v>9</v>
      </c>
      <c r="H133" s="41">
        <v>134</v>
      </c>
      <c r="I133" s="41">
        <v>96</v>
      </c>
      <c r="J133" s="41">
        <v>105</v>
      </c>
      <c r="K133" s="42">
        <v>950</v>
      </c>
      <c r="L133" s="42">
        <v>970</v>
      </c>
      <c r="M133" s="41" t="s">
        <v>333</v>
      </c>
      <c r="N133" s="41"/>
      <c r="O133" s="57">
        <v>45365</v>
      </c>
      <c r="P133" s="41" t="s">
        <v>118</v>
      </c>
    </row>
    <row r="134" spans="1:16" s="33" customFormat="1" ht="51" customHeight="1">
      <c r="A134" s="35">
        <v>131</v>
      </c>
      <c r="B134" s="40" t="s">
        <v>330</v>
      </c>
      <c r="C134" s="74" t="s">
        <v>556</v>
      </c>
      <c r="D134" s="80"/>
      <c r="E134" s="40" t="s">
        <v>322</v>
      </c>
      <c r="F134" s="41">
        <v>10</v>
      </c>
      <c r="G134" s="41" t="s">
        <v>9</v>
      </c>
      <c r="H134" s="41">
        <v>134</v>
      </c>
      <c r="I134" s="41">
        <v>96</v>
      </c>
      <c r="J134" s="41">
        <v>105</v>
      </c>
      <c r="K134" s="42">
        <v>950</v>
      </c>
      <c r="L134" s="42">
        <v>970</v>
      </c>
      <c r="M134" s="41" t="s">
        <v>333</v>
      </c>
      <c r="N134" s="41"/>
      <c r="O134" s="57">
        <v>45365</v>
      </c>
      <c r="P134" s="41" t="s">
        <v>118</v>
      </c>
    </row>
    <row r="135" spans="1:16" s="33" customFormat="1" ht="51" customHeight="1">
      <c r="A135" s="35">
        <v>132</v>
      </c>
      <c r="B135" s="40" t="s">
        <v>331</v>
      </c>
      <c r="C135" s="74" t="s">
        <v>556</v>
      </c>
      <c r="D135" s="80"/>
      <c r="E135" s="40" t="s">
        <v>323</v>
      </c>
      <c r="F135" s="41">
        <v>10</v>
      </c>
      <c r="G135" s="41" t="s">
        <v>9</v>
      </c>
      <c r="H135" s="41">
        <v>134</v>
      </c>
      <c r="I135" s="41">
        <v>96</v>
      </c>
      <c r="J135" s="41">
        <v>105</v>
      </c>
      <c r="K135" s="42">
        <v>950</v>
      </c>
      <c r="L135" s="42">
        <v>970</v>
      </c>
      <c r="M135" s="41" t="s">
        <v>333</v>
      </c>
      <c r="N135" s="41"/>
      <c r="O135" s="57">
        <v>45365</v>
      </c>
      <c r="P135" s="41" t="s">
        <v>118</v>
      </c>
    </row>
    <row r="136" spans="1:16" s="33" customFormat="1" ht="51" customHeight="1">
      <c r="A136" s="35">
        <v>133</v>
      </c>
      <c r="B136" s="40" t="s">
        <v>332</v>
      </c>
      <c r="C136" s="74" t="s">
        <v>556</v>
      </c>
      <c r="D136" s="80"/>
      <c r="E136" s="40" t="s">
        <v>324</v>
      </c>
      <c r="F136" s="41">
        <v>10</v>
      </c>
      <c r="G136" s="41" t="s">
        <v>9</v>
      </c>
      <c r="H136" s="41">
        <v>134</v>
      </c>
      <c r="I136" s="41">
        <v>96</v>
      </c>
      <c r="J136" s="41">
        <v>105</v>
      </c>
      <c r="K136" s="42">
        <v>950</v>
      </c>
      <c r="L136" s="42">
        <v>970</v>
      </c>
      <c r="M136" s="41" t="s">
        <v>333</v>
      </c>
      <c r="N136" s="41"/>
      <c r="O136" s="57">
        <v>45365</v>
      </c>
      <c r="P136" s="41" t="s">
        <v>118</v>
      </c>
    </row>
    <row r="137" spans="1:16" s="33" customFormat="1" ht="51" customHeight="1">
      <c r="A137" s="35">
        <v>134</v>
      </c>
      <c r="B137" s="40" t="s">
        <v>345</v>
      </c>
      <c r="C137" s="74" t="s">
        <v>556</v>
      </c>
      <c r="D137" s="80"/>
      <c r="E137" s="40" t="s">
        <v>353</v>
      </c>
      <c r="F137" s="41">
        <v>10</v>
      </c>
      <c r="G137" s="41" t="s">
        <v>9</v>
      </c>
      <c r="H137" s="41">
        <v>134</v>
      </c>
      <c r="I137" s="41">
        <v>96</v>
      </c>
      <c r="J137" s="41">
        <v>105</v>
      </c>
      <c r="K137" s="42">
        <v>950</v>
      </c>
      <c r="L137" s="42">
        <v>970</v>
      </c>
      <c r="M137" s="41" t="s">
        <v>361</v>
      </c>
      <c r="N137" s="41"/>
      <c r="O137" s="57">
        <v>45365</v>
      </c>
      <c r="P137" s="41" t="s">
        <v>118</v>
      </c>
    </row>
    <row r="138" spans="1:16" s="33" customFormat="1" ht="51" customHeight="1">
      <c r="A138" s="35">
        <v>135</v>
      </c>
      <c r="B138" s="40" t="s">
        <v>346</v>
      </c>
      <c r="C138" s="74" t="s">
        <v>556</v>
      </c>
      <c r="D138" s="80"/>
      <c r="E138" s="40" t="s">
        <v>354</v>
      </c>
      <c r="F138" s="41">
        <v>10</v>
      </c>
      <c r="G138" s="41" t="s">
        <v>9</v>
      </c>
      <c r="H138" s="41">
        <v>134</v>
      </c>
      <c r="I138" s="41">
        <v>96</v>
      </c>
      <c r="J138" s="41">
        <v>105</v>
      </c>
      <c r="K138" s="42">
        <v>950</v>
      </c>
      <c r="L138" s="42">
        <v>970</v>
      </c>
      <c r="M138" s="41" t="s">
        <v>361</v>
      </c>
      <c r="N138" s="41"/>
      <c r="O138" s="57">
        <v>45365</v>
      </c>
      <c r="P138" s="41" t="s">
        <v>118</v>
      </c>
    </row>
    <row r="139" spans="1:16" s="33" customFormat="1" ht="51" customHeight="1">
      <c r="A139" s="35">
        <v>136</v>
      </c>
      <c r="B139" s="40" t="s">
        <v>347</v>
      </c>
      <c r="C139" s="74" t="s">
        <v>556</v>
      </c>
      <c r="D139" s="80"/>
      <c r="E139" s="40" t="s">
        <v>355</v>
      </c>
      <c r="F139" s="41">
        <v>10</v>
      </c>
      <c r="G139" s="41" t="s">
        <v>9</v>
      </c>
      <c r="H139" s="41">
        <v>134</v>
      </c>
      <c r="I139" s="41">
        <v>96</v>
      </c>
      <c r="J139" s="41">
        <v>105</v>
      </c>
      <c r="K139" s="42">
        <v>950</v>
      </c>
      <c r="L139" s="42">
        <v>970</v>
      </c>
      <c r="M139" s="41" t="s">
        <v>361</v>
      </c>
      <c r="N139" s="41"/>
      <c r="O139" s="57">
        <v>45365</v>
      </c>
      <c r="P139" s="41" t="s">
        <v>118</v>
      </c>
    </row>
    <row r="140" spans="1:16" s="33" customFormat="1" ht="51" customHeight="1">
      <c r="A140" s="35">
        <v>137</v>
      </c>
      <c r="B140" s="40" t="s">
        <v>348</v>
      </c>
      <c r="C140" s="74" t="s">
        <v>556</v>
      </c>
      <c r="D140" s="80"/>
      <c r="E140" s="40" t="s">
        <v>356</v>
      </c>
      <c r="F140" s="41">
        <v>10</v>
      </c>
      <c r="G140" s="41" t="s">
        <v>9</v>
      </c>
      <c r="H140" s="41">
        <v>134</v>
      </c>
      <c r="I140" s="41">
        <v>96</v>
      </c>
      <c r="J140" s="41">
        <v>105</v>
      </c>
      <c r="K140" s="42">
        <v>950</v>
      </c>
      <c r="L140" s="42">
        <v>970</v>
      </c>
      <c r="M140" s="41" t="s">
        <v>361</v>
      </c>
      <c r="N140" s="41"/>
      <c r="O140" s="57">
        <v>45365</v>
      </c>
      <c r="P140" s="41" t="s">
        <v>118</v>
      </c>
    </row>
    <row r="141" spans="1:16" s="33" customFormat="1" ht="51" customHeight="1">
      <c r="A141" s="35">
        <v>138</v>
      </c>
      <c r="B141" s="40" t="s">
        <v>352</v>
      </c>
      <c r="C141" s="74" t="s">
        <v>556</v>
      </c>
      <c r="D141" s="80"/>
      <c r="E141" s="40" t="s">
        <v>357</v>
      </c>
      <c r="F141" s="41">
        <v>10</v>
      </c>
      <c r="G141" s="41" t="s">
        <v>9</v>
      </c>
      <c r="H141" s="41">
        <v>134</v>
      </c>
      <c r="I141" s="41">
        <v>96</v>
      </c>
      <c r="J141" s="41">
        <v>105</v>
      </c>
      <c r="K141" s="42">
        <v>950</v>
      </c>
      <c r="L141" s="42">
        <v>970</v>
      </c>
      <c r="M141" s="41" t="s">
        <v>361</v>
      </c>
      <c r="N141" s="41"/>
      <c r="O141" s="57">
        <v>45365</v>
      </c>
      <c r="P141" s="41" t="s">
        <v>118</v>
      </c>
    </row>
    <row r="142" spans="1:16" s="33" customFormat="1" ht="51" customHeight="1">
      <c r="A142" s="35">
        <v>139</v>
      </c>
      <c r="B142" s="40" t="s">
        <v>349</v>
      </c>
      <c r="C142" s="74" t="s">
        <v>556</v>
      </c>
      <c r="D142" s="80"/>
      <c r="E142" s="40" t="s">
        <v>358</v>
      </c>
      <c r="F142" s="41">
        <v>10</v>
      </c>
      <c r="G142" s="41" t="s">
        <v>9</v>
      </c>
      <c r="H142" s="41">
        <v>134</v>
      </c>
      <c r="I142" s="41">
        <v>96</v>
      </c>
      <c r="J142" s="41">
        <v>105</v>
      </c>
      <c r="K142" s="42">
        <v>950</v>
      </c>
      <c r="L142" s="42">
        <v>970</v>
      </c>
      <c r="M142" s="41" t="s">
        <v>361</v>
      </c>
      <c r="N142" s="41"/>
      <c r="O142" s="57">
        <v>45365</v>
      </c>
      <c r="P142" s="41" t="s">
        <v>118</v>
      </c>
    </row>
    <row r="143" spans="1:16" s="33" customFormat="1" ht="51" customHeight="1">
      <c r="A143" s="35">
        <v>140</v>
      </c>
      <c r="B143" s="40" t="s">
        <v>350</v>
      </c>
      <c r="C143" s="74" t="s">
        <v>556</v>
      </c>
      <c r="D143" s="80"/>
      <c r="E143" s="40" t="s">
        <v>359</v>
      </c>
      <c r="F143" s="41">
        <v>10</v>
      </c>
      <c r="G143" s="41" t="s">
        <v>9</v>
      </c>
      <c r="H143" s="41">
        <v>134</v>
      </c>
      <c r="I143" s="41">
        <v>96</v>
      </c>
      <c r="J143" s="41">
        <v>105</v>
      </c>
      <c r="K143" s="42">
        <v>950</v>
      </c>
      <c r="L143" s="42">
        <v>970</v>
      </c>
      <c r="M143" s="41" t="s">
        <v>361</v>
      </c>
      <c r="N143" s="41"/>
      <c r="O143" s="57">
        <v>45365</v>
      </c>
      <c r="P143" s="41" t="s">
        <v>118</v>
      </c>
    </row>
    <row r="144" spans="1:16" s="33" customFormat="1" ht="51" customHeight="1">
      <c r="A144" s="35">
        <v>141</v>
      </c>
      <c r="B144" s="40" t="s">
        <v>351</v>
      </c>
      <c r="C144" s="74" t="s">
        <v>556</v>
      </c>
      <c r="D144" s="80"/>
      <c r="E144" s="40" t="s">
        <v>360</v>
      </c>
      <c r="F144" s="41">
        <v>10</v>
      </c>
      <c r="G144" s="41" t="s">
        <v>9</v>
      </c>
      <c r="H144" s="41">
        <v>134</v>
      </c>
      <c r="I144" s="41">
        <v>96</v>
      </c>
      <c r="J144" s="41">
        <v>105</v>
      </c>
      <c r="K144" s="42">
        <v>950</v>
      </c>
      <c r="L144" s="42">
        <v>970</v>
      </c>
      <c r="M144" s="41" t="s">
        <v>361</v>
      </c>
      <c r="N144" s="41"/>
      <c r="O144" s="57">
        <v>45365</v>
      </c>
      <c r="P144" s="41" t="s">
        <v>118</v>
      </c>
    </row>
    <row r="145" spans="1:16" s="33" customFormat="1" ht="51" customHeight="1">
      <c r="A145" s="35">
        <v>142</v>
      </c>
      <c r="B145" s="40" t="s">
        <v>363</v>
      </c>
      <c r="C145" s="74" t="s">
        <v>556</v>
      </c>
      <c r="D145" s="80"/>
      <c r="E145" s="40" t="s">
        <v>371</v>
      </c>
      <c r="F145" s="41">
        <v>10</v>
      </c>
      <c r="G145" s="41" t="s">
        <v>9</v>
      </c>
      <c r="H145" s="41">
        <v>134</v>
      </c>
      <c r="I145" s="41">
        <v>96</v>
      </c>
      <c r="J145" s="41">
        <v>105</v>
      </c>
      <c r="K145" s="42">
        <v>950</v>
      </c>
      <c r="L145" s="42">
        <v>970</v>
      </c>
      <c r="M145" s="41" t="s">
        <v>315</v>
      </c>
      <c r="N145" s="41"/>
      <c r="O145" s="57" t="s">
        <v>379</v>
      </c>
      <c r="P145" s="41" t="s">
        <v>118</v>
      </c>
    </row>
    <row r="146" spans="1:16" s="33" customFormat="1" ht="51" customHeight="1">
      <c r="A146" s="35">
        <v>143</v>
      </c>
      <c r="B146" s="40" t="s">
        <v>364</v>
      </c>
      <c r="C146" s="74" t="s">
        <v>556</v>
      </c>
      <c r="D146" s="80"/>
      <c r="E146" s="40" t="s">
        <v>372</v>
      </c>
      <c r="F146" s="41">
        <v>10</v>
      </c>
      <c r="G146" s="41" t="s">
        <v>9</v>
      </c>
      <c r="H146" s="41">
        <v>134</v>
      </c>
      <c r="I146" s="41">
        <v>96</v>
      </c>
      <c r="J146" s="41">
        <v>105</v>
      </c>
      <c r="K146" s="42">
        <v>950</v>
      </c>
      <c r="L146" s="42">
        <v>970</v>
      </c>
      <c r="M146" s="41" t="s">
        <v>315</v>
      </c>
      <c r="N146" s="41"/>
      <c r="O146" s="57" t="s">
        <v>379</v>
      </c>
      <c r="P146" s="41" t="s">
        <v>118</v>
      </c>
    </row>
    <row r="147" spans="1:16" s="33" customFormat="1" ht="51" customHeight="1">
      <c r="A147" s="35">
        <v>144</v>
      </c>
      <c r="B147" s="40" t="s">
        <v>365</v>
      </c>
      <c r="C147" s="74" t="s">
        <v>556</v>
      </c>
      <c r="D147" s="80"/>
      <c r="E147" s="40" t="s">
        <v>373</v>
      </c>
      <c r="F147" s="41">
        <v>10</v>
      </c>
      <c r="G147" s="41" t="s">
        <v>9</v>
      </c>
      <c r="H147" s="41">
        <v>134</v>
      </c>
      <c r="I147" s="41">
        <v>96</v>
      </c>
      <c r="J147" s="41">
        <v>105</v>
      </c>
      <c r="K147" s="42">
        <v>950</v>
      </c>
      <c r="L147" s="42">
        <v>970</v>
      </c>
      <c r="M147" s="41" t="s">
        <v>315</v>
      </c>
      <c r="N147" s="41"/>
      <c r="O147" s="57" t="s">
        <v>379</v>
      </c>
      <c r="P147" s="41" t="s">
        <v>118</v>
      </c>
    </row>
    <row r="148" spans="1:16" s="33" customFormat="1" ht="51" customHeight="1">
      <c r="A148" s="35">
        <v>145</v>
      </c>
      <c r="B148" s="40" t="s">
        <v>366</v>
      </c>
      <c r="C148" s="74" t="s">
        <v>556</v>
      </c>
      <c r="D148" s="80"/>
      <c r="E148" s="40" t="s">
        <v>374</v>
      </c>
      <c r="F148" s="41">
        <v>10</v>
      </c>
      <c r="G148" s="41" t="s">
        <v>9</v>
      </c>
      <c r="H148" s="41">
        <v>134</v>
      </c>
      <c r="I148" s="41">
        <v>96</v>
      </c>
      <c r="J148" s="41">
        <v>105</v>
      </c>
      <c r="K148" s="42">
        <v>950</v>
      </c>
      <c r="L148" s="42">
        <v>970</v>
      </c>
      <c r="M148" s="41" t="s">
        <v>315</v>
      </c>
      <c r="N148" s="41"/>
      <c r="O148" s="57" t="s">
        <v>379</v>
      </c>
      <c r="P148" s="41" t="s">
        <v>118</v>
      </c>
    </row>
    <row r="149" spans="1:16" s="33" customFormat="1" ht="51" customHeight="1">
      <c r="A149" s="35">
        <v>146</v>
      </c>
      <c r="B149" s="40" t="s">
        <v>367</v>
      </c>
      <c r="C149" s="74" t="s">
        <v>556</v>
      </c>
      <c r="D149" s="80"/>
      <c r="E149" s="40" t="s">
        <v>375</v>
      </c>
      <c r="F149" s="41">
        <v>10</v>
      </c>
      <c r="G149" s="41" t="s">
        <v>9</v>
      </c>
      <c r="H149" s="41">
        <v>134</v>
      </c>
      <c r="I149" s="41">
        <v>96</v>
      </c>
      <c r="J149" s="41">
        <v>105</v>
      </c>
      <c r="K149" s="42">
        <v>950</v>
      </c>
      <c r="L149" s="42">
        <v>970</v>
      </c>
      <c r="M149" s="41" t="s">
        <v>315</v>
      </c>
      <c r="N149" s="41"/>
      <c r="O149" s="57" t="s">
        <v>379</v>
      </c>
      <c r="P149" s="41" t="s">
        <v>118</v>
      </c>
    </row>
    <row r="150" spans="1:16" s="33" customFormat="1" ht="51" customHeight="1">
      <c r="A150" s="35">
        <v>147</v>
      </c>
      <c r="B150" s="40" t="s">
        <v>368</v>
      </c>
      <c r="C150" s="74" t="s">
        <v>556</v>
      </c>
      <c r="D150" s="80"/>
      <c r="E150" s="40" t="s">
        <v>376</v>
      </c>
      <c r="F150" s="41">
        <v>10</v>
      </c>
      <c r="G150" s="41" t="s">
        <v>9</v>
      </c>
      <c r="H150" s="41">
        <v>134</v>
      </c>
      <c r="I150" s="41">
        <v>96</v>
      </c>
      <c r="J150" s="41">
        <v>105</v>
      </c>
      <c r="K150" s="42">
        <v>950</v>
      </c>
      <c r="L150" s="42">
        <v>970</v>
      </c>
      <c r="M150" s="41" t="s">
        <v>315</v>
      </c>
      <c r="N150" s="41"/>
      <c r="O150" s="57" t="s">
        <v>379</v>
      </c>
      <c r="P150" s="41" t="s">
        <v>118</v>
      </c>
    </row>
    <row r="151" spans="1:16" s="33" customFormat="1" ht="51" customHeight="1">
      <c r="A151" s="35">
        <v>148</v>
      </c>
      <c r="B151" s="40" t="s">
        <v>369</v>
      </c>
      <c r="C151" s="74" t="s">
        <v>556</v>
      </c>
      <c r="D151" s="80"/>
      <c r="E151" s="40" t="s">
        <v>377</v>
      </c>
      <c r="F151" s="41">
        <v>10</v>
      </c>
      <c r="G151" s="41" t="s">
        <v>9</v>
      </c>
      <c r="H151" s="41">
        <v>134</v>
      </c>
      <c r="I151" s="41">
        <v>96</v>
      </c>
      <c r="J151" s="41">
        <v>105</v>
      </c>
      <c r="K151" s="42">
        <v>950</v>
      </c>
      <c r="L151" s="42">
        <v>970</v>
      </c>
      <c r="M151" s="41" t="s">
        <v>315</v>
      </c>
      <c r="N151" s="41"/>
      <c r="O151" s="57" t="s">
        <v>379</v>
      </c>
      <c r="P151" s="41" t="s">
        <v>118</v>
      </c>
    </row>
    <row r="152" spans="1:16" s="33" customFormat="1" ht="51" customHeight="1">
      <c r="A152" s="35">
        <v>149</v>
      </c>
      <c r="B152" s="40" t="s">
        <v>370</v>
      </c>
      <c r="C152" s="74" t="s">
        <v>556</v>
      </c>
      <c r="D152" s="80"/>
      <c r="E152" s="40" t="s">
        <v>378</v>
      </c>
      <c r="F152" s="41">
        <v>10</v>
      </c>
      <c r="G152" s="41" t="s">
        <v>9</v>
      </c>
      <c r="H152" s="41">
        <v>134</v>
      </c>
      <c r="I152" s="41">
        <v>96</v>
      </c>
      <c r="J152" s="41">
        <v>105</v>
      </c>
      <c r="K152" s="42">
        <v>950</v>
      </c>
      <c r="L152" s="42">
        <v>970</v>
      </c>
      <c r="M152" s="41" t="s">
        <v>315</v>
      </c>
      <c r="N152" s="41"/>
      <c r="O152" s="57" t="s">
        <v>379</v>
      </c>
      <c r="P152" s="41" t="s">
        <v>118</v>
      </c>
    </row>
    <row r="153" spans="1:16" s="33" customFormat="1" ht="51" customHeight="1">
      <c r="A153" s="35">
        <v>150</v>
      </c>
      <c r="B153" s="40" t="s">
        <v>387</v>
      </c>
      <c r="C153" s="74" t="s">
        <v>556</v>
      </c>
      <c r="D153" s="80"/>
      <c r="E153" s="40" t="s">
        <v>380</v>
      </c>
      <c r="F153" s="41">
        <v>11</v>
      </c>
      <c r="G153" s="41" t="s">
        <v>9</v>
      </c>
      <c r="H153" s="41">
        <v>134</v>
      </c>
      <c r="I153" s="41">
        <v>96</v>
      </c>
      <c r="J153" s="41">
        <v>130</v>
      </c>
      <c r="K153" s="42">
        <v>990</v>
      </c>
      <c r="L153" s="42">
        <v>1100</v>
      </c>
      <c r="M153" s="41" t="s">
        <v>316</v>
      </c>
      <c r="N153" s="41"/>
      <c r="O153" s="57" t="s">
        <v>379</v>
      </c>
      <c r="P153" s="41" t="s">
        <v>118</v>
      </c>
    </row>
    <row r="154" spans="1:16" s="33" customFormat="1" ht="51" customHeight="1">
      <c r="A154" s="35">
        <v>151</v>
      </c>
      <c r="B154" s="40" t="s">
        <v>388</v>
      </c>
      <c r="C154" s="74" t="s">
        <v>556</v>
      </c>
      <c r="D154" s="80"/>
      <c r="E154" s="40" t="s">
        <v>381</v>
      </c>
      <c r="F154" s="41">
        <v>11</v>
      </c>
      <c r="G154" s="41" t="s">
        <v>9</v>
      </c>
      <c r="H154" s="41">
        <v>134</v>
      </c>
      <c r="I154" s="41">
        <v>96</v>
      </c>
      <c r="J154" s="41">
        <v>130</v>
      </c>
      <c r="K154" s="42">
        <v>990</v>
      </c>
      <c r="L154" s="42">
        <v>1100</v>
      </c>
      <c r="M154" s="41" t="s">
        <v>316</v>
      </c>
      <c r="N154" s="41"/>
      <c r="O154" s="57" t="s">
        <v>379</v>
      </c>
      <c r="P154" s="41" t="s">
        <v>118</v>
      </c>
    </row>
    <row r="155" spans="1:16" s="33" customFormat="1" ht="51" customHeight="1">
      <c r="A155" s="35">
        <v>152</v>
      </c>
      <c r="B155" s="40" t="s">
        <v>389</v>
      </c>
      <c r="C155" s="74" t="s">
        <v>556</v>
      </c>
      <c r="D155" s="80"/>
      <c r="E155" s="40" t="s">
        <v>382</v>
      </c>
      <c r="F155" s="41">
        <v>11</v>
      </c>
      <c r="G155" s="41" t="s">
        <v>9</v>
      </c>
      <c r="H155" s="41">
        <v>134</v>
      </c>
      <c r="I155" s="41">
        <v>96</v>
      </c>
      <c r="J155" s="41">
        <v>130</v>
      </c>
      <c r="K155" s="42">
        <v>990</v>
      </c>
      <c r="L155" s="42">
        <v>1100</v>
      </c>
      <c r="M155" s="41" t="s">
        <v>316</v>
      </c>
      <c r="N155" s="41"/>
      <c r="O155" s="57" t="s">
        <v>379</v>
      </c>
      <c r="P155" s="41" t="s">
        <v>118</v>
      </c>
    </row>
    <row r="156" spans="1:16" s="33" customFormat="1" ht="51" customHeight="1">
      <c r="A156" s="35">
        <v>153</v>
      </c>
      <c r="B156" s="40" t="s">
        <v>390</v>
      </c>
      <c r="C156" s="74" t="s">
        <v>556</v>
      </c>
      <c r="D156" s="80"/>
      <c r="E156" s="40" t="s">
        <v>383</v>
      </c>
      <c r="F156" s="41">
        <v>11</v>
      </c>
      <c r="G156" s="41" t="s">
        <v>9</v>
      </c>
      <c r="H156" s="41">
        <v>134</v>
      </c>
      <c r="I156" s="41">
        <v>96</v>
      </c>
      <c r="J156" s="41">
        <v>130</v>
      </c>
      <c r="K156" s="42">
        <v>990</v>
      </c>
      <c r="L156" s="42">
        <v>1100</v>
      </c>
      <c r="M156" s="41" t="s">
        <v>316</v>
      </c>
      <c r="N156" s="41"/>
      <c r="O156" s="57" t="s">
        <v>379</v>
      </c>
      <c r="P156" s="41" t="s">
        <v>118</v>
      </c>
    </row>
    <row r="157" spans="1:16" s="33" customFormat="1" ht="51" customHeight="1">
      <c r="A157" s="35">
        <v>154</v>
      </c>
      <c r="B157" s="40" t="s">
        <v>391</v>
      </c>
      <c r="C157" s="74" t="s">
        <v>556</v>
      </c>
      <c r="D157" s="80"/>
      <c r="E157" s="40" t="s">
        <v>384</v>
      </c>
      <c r="F157" s="41">
        <v>10</v>
      </c>
      <c r="G157" s="41" t="s">
        <v>9</v>
      </c>
      <c r="H157" s="41">
        <v>134</v>
      </c>
      <c r="I157" s="41">
        <v>96</v>
      </c>
      <c r="J157" s="41">
        <v>105</v>
      </c>
      <c r="K157" s="42">
        <v>950</v>
      </c>
      <c r="L157" s="42">
        <v>970</v>
      </c>
      <c r="M157" s="41" t="s">
        <v>316</v>
      </c>
      <c r="N157" s="41"/>
      <c r="O157" s="57" t="s">
        <v>379</v>
      </c>
      <c r="P157" s="41" t="s">
        <v>118</v>
      </c>
    </row>
    <row r="158" spans="1:16" s="33" customFormat="1" ht="51" customHeight="1">
      <c r="A158" s="35">
        <v>155</v>
      </c>
      <c r="B158" s="40" t="s">
        <v>392</v>
      </c>
      <c r="C158" s="74" t="s">
        <v>556</v>
      </c>
      <c r="D158" s="80"/>
      <c r="E158" s="40" t="s">
        <v>385</v>
      </c>
      <c r="F158" s="41">
        <v>10</v>
      </c>
      <c r="G158" s="41" t="s">
        <v>9</v>
      </c>
      <c r="H158" s="41">
        <v>134</v>
      </c>
      <c r="I158" s="41">
        <v>96</v>
      </c>
      <c r="J158" s="41">
        <v>105</v>
      </c>
      <c r="K158" s="42">
        <v>950</v>
      </c>
      <c r="L158" s="42">
        <v>970</v>
      </c>
      <c r="M158" s="41" t="s">
        <v>316</v>
      </c>
      <c r="N158" s="41"/>
      <c r="O158" s="57" t="s">
        <v>379</v>
      </c>
      <c r="P158" s="41" t="s">
        <v>118</v>
      </c>
    </row>
    <row r="159" spans="1:16" s="33" customFormat="1" ht="51" customHeight="1">
      <c r="A159" s="35">
        <v>156</v>
      </c>
      <c r="B159" s="40" t="s">
        <v>393</v>
      </c>
      <c r="C159" s="74" t="s">
        <v>556</v>
      </c>
      <c r="D159" s="82"/>
      <c r="E159" s="40" t="s">
        <v>386</v>
      </c>
      <c r="F159" s="41">
        <v>3</v>
      </c>
      <c r="G159" s="41" t="s">
        <v>9</v>
      </c>
      <c r="H159" s="41">
        <v>134</v>
      </c>
      <c r="I159" s="41">
        <v>96</v>
      </c>
      <c r="J159" s="41">
        <v>32</v>
      </c>
      <c r="K159" s="42">
        <f>98*3</f>
        <v>294</v>
      </c>
      <c r="L159" s="42">
        <v>320</v>
      </c>
      <c r="M159" s="41" t="s">
        <v>316</v>
      </c>
      <c r="N159" s="41"/>
      <c r="O159" s="57" t="s">
        <v>379</v>
      </c>
      <c r="P159" s="41" t="s">
        <v>118</v>
      </c>
    </row>
    <row r="160" spans="1:16" s="30" customFormat="1" ht="51" customHeight="1">
      <c r="A160" s="35">
        <v>157</v>
      </c>
      <c r="B160" s="37" t="s">
        <v>430</v>
      </c>
      <c r="C160" s="74" t="s">
        <v>556</v>
      </c>
      <c r="D160" s="93" t="s">
        <v>549</v>
      </c>
      <c r="E160" s="40" t="s">
        <v>428</v>
      </c>
      <c r="F160" s="41">
        <v>3</v>
      </c>
      <c r="G160" s="41" t="s">
        <v>9</v>
      </c>
      <c r="H160" s="47">
        <v>300</v>
      </c>
      <c r="I160" s="47">
        <v>120</v>
      </c>
      <c r="J160" s="47">
        <v>113</v>
      </c>
      <c r="K160" s="94">
        <v>365</v>
      </c>
      <c r="L160" s="94">
        <v>605</v>
      </c>
      <c r="M160" s="41" t="s">
        <v>143</v>
      </c>
      <c r="N160" s="41">
        <v>280955</v>
      </c>
      <c r="O160" s="41" t="s">
        <v>437</v>
      </c>
      <c r="P160" s="41" t="s">
        <v>112</v>
      </c>
    </row>
    <row r="161" spans="1:16" s="30" customFormat="1" ht="51" customHeight="1">
      <c r="A161" s="35">
        <v>158</v>
      </c>
      <c r="B161" s="37" t="s">
        <v>431</v>
      </c>
      <c r="C161" s="74" t="s">
        <v>556</v>
      </c>
      <c r="D161" s="95"/>
      <c r="E161" s="40" t="s">
        <v>429</v>
      </c>
      <c r="F161" s="41">
        <v>3</v>
      </c>
      <c r="G161" s="41" t="s">
        <v>9</v>
      </c>
      <c r="H161" s="47">
        <v>300</v>
      </c>
      <c r="I161" s="47">
        <v>120</v>
      </c>
      <c r="J161" s="47">
        <v>93</v>
      </c>
      <c r="K161" s="96">
        <v>210</v>
      </c>
      <c r="L161" s="96">
        <v>430</v>
      </c>
      <c r="M161" s="41" t="s">
        <v>143</v>
      </c>
      <c r="N161" s="41">
        <v>280955</v>
      </c>
      <c r="O161" s="41" t="s">
        <v>437</v>
      </c>
      <c r="P161" s="41" t="s">
        <v>112</v>
      </c>
    </row>
    <row r="162" spans="1:16" s="30" customFormat="1" ht="51" customHeight="1">
      <c r="A162" s="35">
        <v>159</v>
      </c>
      <c r="B162" s="97" t="s">
        <v>456</v>
      </c>
      <c r="C162" s="74" t="s">
        <v>556</v>
      </c>
      <c r="D162" s="78" t="s">
        <v>555</v>
      </c>
      <c r="E162" s="40" t="s">
        <v>465</v>
      </c>
      <c r="F162" s="45" t="s">
        <v>496</v>
      </c>
      <c r="G162" s="45" t="s">
        <v>515</v>
      </c>
      <c r="H162" s="41">
        <v>106</v>
      </c>
      <c r="I162" s="41">
        <v>66</v>
      </c>
      <c r="J162" s="41">
        <v>106</v>
      </c>
      <c r="K162" s="42">
        <f>+L162-20</f>
        <v>475</v>
      </c>
      <c r="L162" s="42">
        <v>495</v>
      </c>
      <c r="M162" s="41" t="s">
        <v>531</v>
      </c>
      <c r="N162" s="41"/>
      <c r="O162" s="41" t="s">
        <v>530</v>
      </c>
      <c r="P162" s="41" t="s">
        <v>532</v>
      </c>
    </row>
    <row r="163" spans="1:16" s="30" customFormat="1" ht="51" customHeight="1">
      <c r="A163" s="35">
        <v>160</v>
      </c>
      <c r="B163" s="97" t="s">
        <v>456</v>
      </c>
      <c r="C163" s="74" t="s">
        <v>556</v>
      </c>
      <c r="D163" s="80"/>
      <c r="E163" s="40" t="s">
        <v>466</v>
      </c>
      <c r="F163" s="45" t="s">
        <v>497</v>
      </c>
      <c r="G163" s="45" t="s">
        <v>515</v>
      </c>
      <c r="H163" s="41">
        <v>107</v>
      </c>
      <c r="I163" s="41">
        <v>60</v>
      </c>
      <c r="J163" s="41">
        <v>107</v>
      </c>
      <c r="K163" s="42">
        <f>+L163-20</f>
        <v>480</v>
      </c>
      <c r="L163" s="42">
        <v>500</v>
      </c>
      <c r="M163" s="41" t="s">
        <v>531</v>
      </c>
      <c r="N163" s="41"/>
      <c r="O163" s="41" t="s">
        <v>530</v>
      </c>
      <c r="P163" s="41" t="s">
        <v>532</v>
      </c>
    </row>
    <row r="164" spans="1:16" s="30" customFormat="1" ht="51" customHeight="1">
      <c r="A164" s="35">
        <v>161</v>
      </c>
      <c r="B164" s="97" t="s">
        <v>456</v>
      </c>
      <c r="C164" s="74" t="s">
        <v>556</v>
      </c>
      <c r="D164" s="80"/>
      <c r="E164" s="40" t="s">
        <v>467</v>
      </c>
      <c r="F164" s="45" t="s">
        <v>516</v>
      </c>
      <c r="G164" s="45" t="s">
        <v>515</v>
      </c>
      <c r="H164" s="41">
        <v>60</v>
      </c>
      <c r="I164" s="41">
        <v>54</v>
      </c>
      <c r="J164" s="41">
        <v>60</v>
      </c>
      <c r="K164" s="42">
        <f t="shared" ref="K164:K192" si="0">+L164-20</f>
        <v>90</v>
      </c>
      <c r="L164" s="42">
        <v>110</v>
      </c>
      <c r="M164" s="41" t="s">
        <v>531</v>
      </c>
      <c r="N164" s="41"/>
      <c r="O164" s="41" t="s">
        <v>530</v>
      </c>
      <c r="P164" s="41" t="s">
        <v>532</v>
      </c>
    </row>
    <row r="165" spans="1:16" s="30" customFormat="1" ht="51" customHeight="1">
      <c r="A165" s="35">
        <v>162</v>
      </c>
      <c r="B165" s="97" t="s">
        <v>457</v>
      </c>
      <c r="C165" s="74" t="s">
        <v>556</v>
      </c>
      <c r="D165" s="80"/>
      <c r="E165" s="40" t="s">
        <v>468</v>
      </c>
      <c r="F165" s="45" t="s">
        <v>498</v>
      </c>
      <c r="G165" s="45" t="s">
        <v>515</v>
      </c>
      <c r="H165" s="41">
        <v>91</v>
      </c>
      <c r="I165" s="41">
        <v>64</v>
      </c>
      <c r="J165" s="41">
        <v>91</v>
      </c>
      <c r="K165" s="42">
        <f t="shared" si="0"/>
        <v>270</v>
      </c>
      <c r="L165" s="42">
        <v>290</v>
      </c>
      <c r="M165" s="41" t="s">
        <v>531</v>
      </c>
      <c r="N165" s="41"/>
      <c r="O165" s="41" t="s">
        <v>530</v>
      </c>
      <c r="P165" s="41" t="s">
        <v>532</v>
      </c>
    </row>
    <row r="166" spans="1:16" s="30" customFormat="1" ht="51" customHeight="1">
      <c r="A166" s="35">
        <v>163</v>
      </c>
      <c r="B166" s="97" t="s">
        <v>458</v>
      </c>
      <c r="C166" s="74" t="s">
        <v>556</v>
      </c>
      <c r="D166" s="80"/>
      <c r="E166" s="40" t="s">
        <v>469</v>
      </c>
      <c r="F166" s="45" t="s">
        <v>499</v>
      </c>
      <c r="G166" s="45" t="s">
        <v>515</v>
      </c>
      <c r="H166" s="41">
        <v>93</v>
      </c>
      <c r="I166" s="41">
        <v>65</v>
      </c>
      <c r="J166" s="41">
        <v>93</v>
      </c>
      <c r="K166" s="42">
        <f t="shared" si="0"/>
        <v>415</v>
      </c>
      <c r="L166" s="42">
        <v>435</v>
      </c>
      <c r="M166" s="41" t="s">
        <v>531</v>
      </c>
      <c r="N166" s="41"/>
      <c r="O166" s="41" t="s">
        <v>530</v>
      </c>
      <c r="P166" s="41" t="s">
        <v>532</v>
      </c>
    </row>
    <row r="167" spans="1:16" s="30" customFormat="1" ht="51" customHeight="1">
      <c r="A167" s="35">
        <v>164</v>
      </c>
      <c r="B167" s="97" t="s">
        <v>459</v>
      </c>
      <c r="C167" s="74" t="s">
        <v>556</v>
      </c>
      <c r="D167" s="80"/>
      <c r="E167" s="40" t="s">
        <v>470</v>
      </c>
      <c r="F167" s="45" t="s">
        <v>517</v>
      </c>
      <c r="G167" s="45" t="s">
        <v>515</v>
      </c>
      <c r="H167" s="41">
        <v>122</v>
      </c>
      <c r="I167" s="41">
        <v>73</v>
      </c>
      <c r="J167" s="41">
        <v>122</v>
      </c>
      <c r="K167" s="42">
        <f t="shared" si="0"/>
        <v>685</v>
      </c>
      <c r="L167" s="42">
        <v>705</v>
      </c>
      <c r="M167" s="41" t="s">
        <v>533</v>
      </c>
      <c r="N167" s="41"/>
      <c r="O167" s="41" t="s">
        <v>530</v>
      </c>
      <c r="P167" s="41" t="s">
        <v>534</v>
      </c>
    </row>
    <row r="168" spans="1:16" s="30" customFormat="1" ht="51" customHeight="1">
      <c r="A168" s="35">
        <v>165</v>
      </c>
      <c r="B168" s="97" t="s">
        <v>459</v>
      </c>
      <c r="C168" s="74" t="s">
        <v>556</v>
      </c>
      <c r="D168" s="80"/>
      <c r="E168" s="40" t="s">
        <v>471</v>
      </c>
      <c r="F168" s="45" t="s">
        <v>500</v>
      </c>
      <c r="G168" s="45" t="s">
        <v>515</v>
      </c>
      <c r="H168" s="41">
        <v>152</v>
      </c>
      <c r="I168" s="41">
        <v>73</v>
      </c>
      <c r="J168" s="41">
        <v>152</v>
      </c>
      <c r="K168" s="42">
        <f>+L168-40</f>
        <v>1210</v>
      </c>
      <c r="L168" s="42">
        <v>1250</v>
      </c>
      <c r="M168" s="41" t="s">
        <v>533</v>
      </c>
      <c r="N168" s="41"/>
      <c r="O168" s="41" t="s">
        <v>530</v>
      </c>
      <c r="P168" s="41" t="s">
        <v>534</v>
      </c>
    </row>
    <row r="169" spans="1:16" s="30" customFormat="1" ht="51" customHeight="1">
      <c r="A169" s="35">
        <v>166</v>
      </c>
      <c r="B169" s="97" t="s">
        <v>459</v>
      </c>
      <c r="C169" s="74" t="s">
        <v>556</v>
      </c>
      <c r="D169" s="80"/>
      <c r="E169" s="40" t="s">
        <v>472</v>
      </c>
      <c r="F169" s="45" t="s">
        <v>501</v>
      </c>
      <c r="G169" s="45" t="s">
        <v>515</v>
      </c>
      <c r="H169" s="41">
        <v>152</v>
      </c>
      <c r="I169" s="41">
        <v>73</v>
      </c>
      <c r="J169" s="41">
        <v>152</v>
      </c>
      <c r="K169" s="42">
        <f>+L169-40</f>
        <v>1205</v>
      </c>
      <c r="L169" s="42">
        <v>1245</v>
      </c>
      <c r="M169" s="41" t="s">
        <v>533</v>
      </c>
      <c r="N169" s="41"/>
      <c r="O169" s="41" t="s">
        <v>530</v>
      </c>
      <c r="P169" s="41" t="s">
        <v>534</v>
      </c>
    </row>
    <row r="170" spans="1:16" s="30" customFormat="1" ht="51" customHeight="1">
      <c r="A170" s="35">
        <v>167</v>
      </c>
      <c r="B170" s="97" t="s">
        <v>460</v>
      </c>
      <c r="C170" s="74" t="s">
        <v>556</v>
      </c>
      <c r="D170" s="80"/>
      <c r="E170" s="40" t="s">
        <v>473</v>
      </c>
      <c r="F170" s="45" t="s">
        <v>502</v>
      </c>
      <c r="G170" s="45" t="s">
        <v>515</v>
      </c>
      <c r="H170" s="41">
        <v>131</v>
      </c>
      <c r="I170" s="41">
        <v>72</v>
      </c>
      <c r="J170" s="41">
        <v>131</v>
      </c>
      <c r="K170" s="42">
        <f>+L170-30</f>
        <v>920</v>
      </c>
      <c r="L170" s="42">
        <v>950</v>
      </c>
      <c r="M170" s="41" t="s">
        <v>533</v>
      </c>
      <c r="N170" s="41"/>
      <c r="O170" s="41" t="s">
        <v>530</v>
      </c>
      <c r="P170" s="41" t="s">
        <v>534</v>
      </c>
    </row>
    <row r="171" spans="1:16" s="30" customFormat="1" ht="51" customHeight="1">
      <c r="A171" s="35">
        <v>168</v>
      </c>
      <c r="B171" s="97" t="s">
        <v>460</v>
      </c>
      <c r="C171" s="74" t="s">
        <v>556</v>
      </c>
      <c r="D171" s="80"/>
      <c r="E171" s="40" t="s">
        <v>474</v>
      </c>
      <c r="F171" s="45" t="s">
        <v>518</v>
      </c>
      <c r="G171" s="45" t="s">
        <v>515</v>
      </c>
      <c r="H171" s="41">
        <v>131</v>
      </c>
      <c r="I171" s="41">
        <v>72</v>
      </c>
      <c r="J171" s="41">
        <v>131</v>
      </c>
      <c r="K171" s="42">
        <f>+L171-30</f>
        <v>740</v>
      </c>
      <c r="L171" s="42">
        <v>770</v>
      </c>
      <c r="M171" s="41" t="s">
        <v>533</v>
      </c>
      <c r="N171" s="41"/>
      <c r="O171" s="41" t="s">
        <v>530</v>
      </c>
      <c r="P171" s="41" t="s">
        <v>534</v>
      </c>
    </row>
    <row r="172" spans="1:16" s="30" customFormat="1" ht="51" customHeight="1">
      <c r="A172" s="35">
        <v>169</v>
      </c>
      <c r="B172" s="97" t="s">
        <v>460</v>
      </c>
      <c r="C172" s="74" t="s">
        <v>556</v>
      </c>
      <c r="D172" s="80"/>
      <c r="E172" s="40" t="s">
        <v>475</v>
      </c>
      <c r="F172" s="45" t="s">
        <v>503</v>
      </c>
      <c r="G172" s="45" t="s">
        <v>515</v>
      </c>
      <c r="H172" s="41">
        <v>132</v>
      </c>
      <c r="I172" s="41">
        <v>73</v>
      </c>
      <c r="J172" s="41">
        <v>132</v>
      </c>
      <c r="K172" s="42">
        <f>+L172-30</f>
        <v>920</v>
      </c>
      <c r="L172" s="42">
        <v>950</v>
      </c>
      <c r="M172" s="41" t="s">
        <v>533</v>
      </c>
      <c r="N172" s="41"/>
      <c r="O172" s="41" t="s">
        <v>530</v>
      </c>
      <c r="P172" s="41" t="s">
        <v>534</v>
      </c>
    </row>
    <row r="173" spans="1:16" s="30" customFormat="1" ht="51" customHeight="1">
      <c r="A173" s="35">
        <v>170</v>
      </c>
      <c r="B173" s="97" t="s">
        <v>461</v>
      </c>
      <c r="C173" s="74" t="s">
        <v>556</v>
      </c>
      <c r="D173" s="80"/>
      <c r="E173" s="40" t="s">
        <v>476</v>
      </c>
      <c r="F173" s="45" t="s">
        <v>519</v>
      </c>
      <c r="G173" s="45" t="s">
        <v>515</v>
      </c>
      <c r="H173" s="41">
        <v>131</v>
      </c>
      <c r="I173" s="41">
        <v>72</v>
      </c>
      <c r="J173" s="41">
        <v>131</v>
      </c>
      <c r="K173" s="42">
        <f>+L173-30</f>
        <v>760</v>
      </c>
      <c r="L173" s="42">
        <v>790</v>
      </c>
      <c r="M173" s="41" t="s">
        <v>536</v>
      </c>
      <c r="N173" s="41"/>
      <c r="O173" s="41" t="s">
        <v>530</v>
      </c>
      <c r="P173" s="41" t="s">
        <v>535</v>
      </c>
    </row>
    <row r="174" spans="1:16" s="30" customFormat="1" ht="51" customHeight="1">
      <c r="A174" s="35">
        <v>171</v>
      </c>
      <c r="B174" s="97" t="s">
        <v>461</v>
      </c>
      <c r="C174" s="74" t="s">
        <v>556</v>
      </c>
      <c r="D174" s="80"/>
      <c r="E174" s="40" t="s">
        <v>477</v>
      </c>
      <c r="F174" s="45" t="s">
        <v>504</v>
      </c>
      <c r="G174" s="45" t="s">
        <v>515</v>
      </c>
      <c r="H174" s="41">
        <v>122</v>
      </c>
      <c r="I174" s="41">
        <v>72</v>
      </c>
      <c r="J174" s="41">
        <v>122</v>
      </c>
      <c r="K174" s="42">
        <f t="shared" si="0"/>
        <v>770</v>
      </c>
      <c r="L174" s="42">
        <v>790</v>
      </c>
      <c r="M174" s="41" t="s">
        <v>536</v>
      </c>
      <c r="N174" s="41"/>
      <c r="O174" s="41" t="s">
        <v>530</v>
      </c>
      <c r="P174" s="41" t="s">
        <v>535</v>
      </c>
    </row>
    <row r="175" spans="1:16" s="30" customFormat="1" ht="51" customHeight="1">
      <c r="A175" s="35">
        <v>172</v>
      </c>
      <c r="B175" s="97" t="s">
        <v>461</v>
      </c>
      <c r="C175" s="74" t="s">
        <v>556</v>
      </c>
      <c r="D175" s="80"/>
      <c r="E175" s="40" t="s">
        <v>478</v>
      </c>
      <c r="F175" s="45" t="s">
        <v>505</v>
      </c>
      <c r="G175" s="45" t="s">
        <v>515</v>
      </c>
      <c r="H175" s="41">
        <v>122</v>
      </c>
      <c r="I175" s="41">
        <v>72</v>
      </c>
      <c r="J175" s="41">
        <v>122</v>
      </c>
      <c r="K175" s="42">
        <f t="shared" si="0"/>
        <v>770</v>
      </c>
      <c r="L175" s="42">
        <v>790</v>
      </c>
      <c r="M175" s="41" t="s">
        <v>536</v>
      </c>
      <c r="N175" s="41"/>
      <c r="O175" s="41" t="s">
        <v>530</v>
      </c>
      <c r="P175" s="41" t="s">
        <v>535</v>
      </c>
    </row>
    <row r="176" spans="1:16" s="30" customFormat="1" ht="51" customHeight="1">
      <c r="A176" s="35">
        <v>173</v>
      </c>
      <c r="B176" s="97" t="s">
        <v>462</v>
      </c>
      <c r="C176" s="74" t="s">
        <v>556</v>
      </c>
      <c r="D176" s="80"/>
      <c r="E176" s="40" t="s">
        <v>479</v>
      </c>
      <c r="F176" s="45" t="s">
        <v>506</v>
      </c>
      <c r="G176" s="45" t="s">
        <v>515</v>
      </c>
      <c r="H176" s="41">
        <v>82</v>
      </c>
      <c r="I176" s="41">
        <v>55</v>
      </c>
      <c r="J176" s="41">
        <v>82</v>
      </c>
      <c r="K176" s="42">
        <f t="shared" si="0"/>
        <v>200</v>
      </c>
      <c r="L176" s="42">
        <v>220</v>
      </c>
      <c r="M176" s="41" t="s">
        <v>536</v>
      </c>
      <c r="N176" s="41"/>
      <c r="O176" s="41" t="s">
        <v>530</v>
      </c>
      <c r="P176" s="41" t="s">
        <v>535</v>
      </c>
    </row>
    <row r="177" spans="1:16" s="30" customFormat="1" ht="51" customHeight="1">
      <c r="A177" s="35">
        <v>174</v>
      </c>
      <c r="B177" s="97" t="s">
        <v>462</v>
      </c>
      <c r="C177" s="74" t="s">
        <v>556</v>
      </c>
      <c r="D177" s="80"/>
      <c r="E177" s="40" t="s">
        <v>480</v>
      </c>
      <c r="F177" s="45" t="s">
        <v>507</v>
      </c>
      <c r="G177" s="45" t="s">
        <v>515</v>
      </c>
      <c r="H177" s="41">
        <v>82</v>
      </c>
      <c r="I177" s="41">
        <v>55</v>
      </c>
      <c r="J177" s="41">
        <v>82</v>
      </c>
      <c r="K177" s="42">
        <f t="shared" si="0"/>
        <v>205</v>
      </c>
      <c r="L177" s="42">
        <v>225</v>
      </c>
      <c r="M177" s="41" t="s">
        <v>536</v>
      </c>
      <c r="N177" s="41"/>
      <c r="O177" s="41" t="s">
        <v>530</v>
      </c>
      <c r="P177" s="41" t="s">
        <v>535</v>
      </c>
    </row>
    <row r="178" spans="1:16" s="30" customFormat="1" ht="51" customHeight="1">
      <c r="A178" s="35">
        <v>175</v>
      </c>
      <c r="B178" s="97" t="s">
        <v>462</v>
      </c>
      <c r="C178" s="74" t="s">
        <v>556</v>
      </c>
      <c r="D178" s="80"/>
      <c r="E178" s="40" t="s">
        <v>481</v>
      </c>
      <c r="F178" s="45" t="s">
        <v>520</v>
      </c>
      <c r="G178" s="45" t="s">
        <v>515</v>
      </c>
      <c r="H178" s="41">
        <v>62</v>
      </c>
      <c r="I178" s="41">
        <v>55</v>
      </c>
      <c r="J178" s="41">
        <v>62</v>
      </c>
      <c r="K178" s="42">
        <f t="shared" si="0"/>
        <v>90</v>
      </c>
      <c r="L178" s="42">
        <v>110</v>
      </c>
      <c r="M178" s="41" t="s">
        <v>536</v>
      </c>
      <c r="N178" s="41"/>
      <c r="O178" s="41" t="s">
        <v>530</v>
      </c>
      <c r="P178" s="41" t="s">
        <v>535</v>
      </c>
    </row>
    <row r="179" spans="1:16" s="30" customFormat="1" ht="51" customHeight="1">
      <c r="A179" s="35">
        <v>176</v>
      </c>
      <c r="B179" s="97" t="s">
        <v>462</v>
      </c>
      <c r="C179" s="74" t="s">
        <v>556</v>
      </c>
      <c r="D179" s="80"/>
      <c r="E179" s="40" t="s">
        <v>482</v>
      </c>
      <c r="F179" s="45" t="s">
        <v>504</v>
      </c>
      <c r="G179" s="45" t="s">
        <v>515</v>
      </c>
      <c r="H179" s="41">
        <v>81</v>
      </c>
      <c r="I179" s="41">
        <v>55</v>
      </c>
      <c r="J179" s="41">
        <v>81</v>
      </c>
      <c r="K179" s="42">
        <f t="shared" si="0"/>
        <v>205</v>
      </c>
      <c r="L179" s="42">
        <v>225</v>
      </c>
      <c r="M179" s="41" t="s">
        <v>536</v>
      </c>
      <c r="N179" s="41"/>
      <c r="O179" s="41" t="s">
        <v>530</v>
      </c>
      <c r="P179" s="41" t="s">
        <v>535</v>
      </c>
    </row>
    <row r="180" spans="1:16" s="30" customFormat="1" ht="51" customHeight="1">
      <c r="A180" s="35">
        <v>177</v>
      </c>
      <c r="B180" s="97" t="s">
        <v>462</v>
      </c>
      <c r="C180" s="74" t="s">
        <v>556</v>
      </c>
      <c r="D180" s="80"/>
      <c r="E180" s="40" t="s">
        <v>483</v>
      </c>
      <c r="F180" s="45" t="s">
        <v>508</v>
      </c>
      <c r="G180" s="45" t="s">
        <v>515</v>
      </c>
      <c r="H180" s="41">
        <v>81</v>
      </c>
      <c r="I180" s="41">
        <v>55</v>
      </c>
      <c r="J180" s="41">
        <v>81</v>
      </c>
      <c r="K180" s="42">
        <f t="shared" si="0"/>
        <v>205</v>
      </c>
      <c r="L180" s="42">
        <v>225</v>
      </c>
      <c r="M180" s="41" t="s">
        <v>536</v>
      </c>
      <c r="N180" s="41"/>
      <c r="O180" s="41" t="s">
        <v>530</v>
      </c>
      <c r="P180" s="41" t="s">
        <v>535</v>
      </c>
    </row>
    <row r="181" spans="1:16" s="30" customFormat="1" ht="51" customHeight="1">
      <c r="A181" s="35">
        <v>178</v>
      </c>
      <c r="B181" s="97" t="s">
        <v>463</v>
      </c>
      <c r="C181" s="74" t="s">
        <v>556</v>
      </c>
      <c r="D181" s="80"/>
      <c r="E181" s="40" t="s">
        <v>484</v>
      </c>
      <c r="F181" s="45" t="s">
        <v>500</v>
      </c>
      <c r="G181" s="45" t="s">
        <v>515</v>
      </c>
      <c r="H181" s="41">
        <v>91</v>
      </c>
      <c r="I181" s="41">
        <v>65</v>
      </c>
      <c r="J181" s="41">
        <v>91</v>
      </c>
      <c r="K181" s="42">
        <f t="shared" si="0"/>
        <v>290</v>
      </c>
      <c r="L181" s="42">
        <v>310</v>
      </c>
      <c r="M181" s="41" t="s">
        <v>531</v>
      </c>
      <c r="N181" s="41"/>
      <c r="O181" s="41" t="s">
        <v>530</v>
      </c>
      <c r="P181" s="41" t="s">
        <v>532</v>
      </c>
    </row>
    <row r="182" spans="1:16" s="30" customFormat="1" ht="51" customHeight="1">
      <c r="A182" s="35">
        <v>179</v>
      </c>
      <c r="B182" s="97" t="s">
        <v>463</v>
      </c>
      <c r="C182" s="74" t="s">
        <v>556</v>
      </c>
      <c r="D182" s="80"/>
      <c r="E182" s="40" t="s">
        <v>485</v>
      </c>
      <c r="F182" s="45" t="s">
        <v>509</v>
      </c>
      <c r="G182" s="45" t="s">
        <v>515</v>
      </c>
      <c r="H182" s="41">
        <v>91</v>
      </c>
      <c r="I182" s="41">
        <v>65</v>
      </c>
      <c r="J182" s="41">
        <v>91</v>
      </c>
      <c r="K182" s="42">
        <f t="shared" si="0"/>
        <v>285</v>
      </c>
      <c r="L182" s="42">
        <v>305</v>
      </c>
      <c r="M182" s="41" t="s">
        <v>536</v>
      </c>
      <c r="N182" s="41"/>
      <c r="O182" s="41" t="s">
        <v>530</v>
      </c>
      <c r="P182" s="41" t="s">
        <v>535</v>
      </c>
    </row>
    <row r="183" spans="1:16" s="30" customFormat="1" ht="51" customHeight="1">
      <c r="A183" s="35">
        <v>180</v>
      </c>
      <c r="B183" s="97" t="s">
        <v>463</v>
      </c>
      <c r="C183" s="74" t="s">
        <v>556</v>
      </c>
      <c r="D183" s="80"/>
      <c r="E183" s="40" t="s">
        <v>486</v>
      </c>
      <c r="F183" s="45" t="s">
        <v>510</v>
      </c>
      <c r="G183" s="45" t="s">
        <v>515</v>
      </c>
      <c r="H183" s="41">
        <v>91</v>
      </c>
      <c r="I183" s="41">
        <v>65</v>
      </c>
      <c r="J183" s="41">
        <v>91</v>
      </c>
      <c r="K183" s="42">
        <f t="shared" si="0"/>
        <v>290</v>
      </c>
      <c r="L183" s="42">
        <v>310</v>
      </c>
      <c r="M183" s="41" t="s">
        <v>531</v>
      </c>
      <c r="N183" s="41"/>
      <c r="O183" s="41" t="s">
        <v>530</v>
      </c>
      <c r="P183" s="41" t="s">
        <v>532</v>
      </c>
    </row>
    <row r="184" spans="1:16" s="30" customFormat="1" ht="51" customHeight="1">
      <c r="A184" s="35">
        <v>181</v>
      </c>
      <c r="B184" s="97" t="s">
        <v>463</v>
      </c>
      <c r="C184" s="74" t="s">
        <v>556</v>
      </c>
      <c r="D184" s="80"/>
      <c r="E184" s="40" t="s">
        <v>487</v>
      </c>
      <c r="F184" s="45" t="s">
        <v>496</v>
      </c>
      <c r="G184" s="45" t="s">
        <v>515</v>
      </c>
      <c r="H184" s="41">
        <v>91</v>
      </c>
      <c r="I184" s="41">
        <v>65</v>
      </c>
      <c r="J184" s="41">
        <v>91</v>
      </c>
      <c r="K184" s="42">
        <f t="shared" si="0"/>
        <v>290</v>
      </c>
      <c r="L184" s="42">
        <v>310</v>
      </c>
      <c r="M184" s="41" t="s">
        <v>531</v>
      </c>
      <c r="N184" s="41"/>
      <c r="O184" s="41" t="s">
        <v>530</v>
      </c>
      <c r="P184" s="41" t="s">
        <v>532</v>
      </c>
    </row>
    <row r="185" spans="1:16" s="30" customFormat="1" ht="51" customHeight="1">
      <c r="A185" s="35">
        <v>182</v>
      </c>
      <c r="B185" s="97" t="s">
        <v>463</v>
      </c>
      <c r="C185" s="74" t="s">
        <v>556</v>
      </c>
      <c r="D185" s="80"/>
      <c r="E185" s="40" t="s">
        <v>488</v>
      </c>
      <c r="F185" s="45" t="s">
        <v>521</v>
      </c>
      <c r="G185" s="45" t="s">
        <v>515</v>
      </c>
      <c r="H185" s="41">
        <v>92</v>
      </c>
      <c r="I185" s="41">
        <v>65</v>
      </c>
      <c r="J185" s="41">
        <v>92</v>
      </c>
      <c r="K185" s="42">
        <f t="shared" si="0"/>
        <v>225</v>
      </c>
      <c r="L185" s="42">
        <v>245</v>
      </c>
      <c r="M185" s="41" t="s">
        <v>536</v>
      </c>
      <c r="N185" s="41"/>
      <c r="O185" s="41" t="s">
        <v>530</v>
      </c>
      <c r="P185" s="41" t="s">
        <v>535</v>
      </c>
    </row>
    <row r="186" spans="1:16" s="30" customFormat="1" ht="51" customHeight="1">
      <c r="A186" s="35">
        <v>183</v>
      </c>
      <c r="B186" s="97" t="s">
        <v>463</v>
      </c>
      <c r="C186" s="74" t="s">
        <v>556</v>
      </c>
      <c r="D186" s="80"/>
      <c r="E186" s="40" t="s">
        <v>489</v>
      </c>
      <c r="F186" s="45" t="s">
        <v>507</v>
      </c>
      <c r="G186" s="45" t="s">
        <v>515</v>
      </c>
      <c r="H186" s="41">
        <v>92</v>
      </c>
      <c r="I186" s="41">
        <v>65</v>
      </c>
      <c r="J186" s="41">
        <v>92</v>
      </c>
      <c r="K186" s="42">
        <f t="shared" si="0"/>
        <v>295</v>
      </c>
      <c r="L186" s="42">
        <v>315</v>
      </c>
      <c r="M186" s="41" t="s">
        <v>536</v>
      </c>
      <c r="N186" s="41"/>
      <c r="O186" s="41" t="s">
        <v>530</v>
      </c>
      <c r="P186" s="41" t="s">
        <v>535</v>
      </c>
    </row>
    <row r="187" spans="1:16" s="30" customFormat="1" ht="51" customHeight="1">
      <c r="A187" s="35">
        <v>184</v>
      </c>
      <c r="B187" s="97" t="s">
        <v>463</v>
      </c>
      <c r="C187" s="74" t="s">
        <v>556</v>
      </c>
      <c r="D187" s="80"/>
      <c r="E187" s="40" t="s">
        <v>490</v>
      </c>
      <c r="F187" s="45" t="s">
        <v>509</v>
      </c>
      <c r="G187" s="45" t="s">
        <v>515</v>
      </c>
      <c r="H187" s="41">
        <v>92</v>
      </c>
      <c r="I187" s="41">
        <v>65</v>
      </c>
      <c r="J187" s="41">
        <v>92</v>
      </c>
      <c r="K187" s="42">
        <f t="shared" si="0"/>
        <v>290</v>
      </c>
      <c r="L187" s="42">
        <v>310</v>
      </c>
      <c r="M187" s="41" t="s">
        <v>531</v>
      </c>
      <c r="N187" s="41"/>
      <c r="O187" s="41" t="s">
        <v>530</v>
      </c>
      <c r="P187" s="41" t="s">
        <v>532</v>
      </c>
    </row>
    <row r="188" spans="1:16" s="30" customFormat="1" ht="51" customHeight="1">
      <c r="A188" s="35">
        <v>185</v>
      </c>
      <c r="B188" s="97" t="s">
        <v>463</v>
      </c>
      <c r="C188" s="74" t="s">
        <v>556</v>
      </c>
      <c r="D188" s="80"/>
      <c r="E188" s="40" t="s">
        <v>491</v>
      </c>
      <c r="F188" s="45" t="s">
        <v>511</v>
      </c>
      <c r="G188" s="45" t="s">
        <v>515</v>
      </c>
      <c r="H188" s="41">
        <v>92</v>
      </c>
      <c r="I188" s="41">
        <v>65</v>
      </c>
      <c r="J188" s="41">
        <v>92</v>
      </c>
      <c r="K188" s="42">
        <f t="shared" si="0"/>
        <v>300</v>
      </c>
      <c r="L188" s="42">
        <v>320</v>
      </c>
      <c r="M188" s="41" t="s">
        <v>536</v>
      </c>
      <c r="N188" s="41"/>
      <c r="O188" s="41" t="s">
        <v>530</v>
      </c>
      <c r="P188" s="41" t="s">
        <v>535</v>
      </c>
    </row>
    <row r="189" spans="1:16" s="30" customFormat="1" ht="51" customHeight="1">
      <c r="A189" s="35">
        <v>186</v>
      </c>
      <c r="B189" s="97" t="s">
        <v>463</v>
      </c>
      <c r="C189" s="74" t="s">
        <v>556</v>
      </c>
      <c r="D189" s="80"/>
      <c r="E189" s="40" t="s">
        <v>492</v>
      </c>
      <c r="F189" s="45" t="s">
        <v>497</v>
      </c>
      <c r="G189" s="45" t="s">
        <v>515</v>
      </c>
      <c r="H189" s="41">
        <v>92</v>
      </c>
      <c r="I189" s="41">
        <v>65</v>
      </c>
      <c r="J189" s="41">
        <v>92</v>
      </c>
      <c r="K189" s="42">
        <f t="shared" si="0"/>
        <v>300</v>
      </c>
      <c r="L189" s="42">
        <v>320</v>
      </c>
      <c r="M189" s="41" t="s">
        <v>536</v>
      </c>
      <c r="N189" s="41"/>
      <c r="O189" s="41" t="s">
        <v>530</v>
      </c>
      <c r="P189" s="41" t="s">
        <v>535</v>
      </c>
    </row>
    <row r="190" spans="1:16" s="30" customFormat="1" ht="51" customHeight="1">
      <c r="A190" s="35">
        <v>187</v>
      </c>
      <c r="B190" s="97" t="s">
        <v>463</v>
      </c>
      <c r="C190" s="74" t="s">
        <v>556</v>
      </c>
      <c r="D190" s="80"/>
      <c r="E190" s="40" t="s">
        <v>493</v>
      </c>
      <c r="F190" s="45" t="s">
        <v>512</v>
      </c>
      <c r="G190" s="45" t="s">
        <v>515</v>
      </c>
      <c r="H190" s="41">
        <v>92</v>
      </c>
      <c r="I190" s="41">
        <v>65</v>
      </c>
      <c r="J190" s="41">
        <v>92</v>
      </c>
      <c r="K190" s="42">
        <f t="shared" si="0"/>
        <v>290</v>
      </c>
      <c r="L190" s="42">
        <v>310</v>
      </c>
      <c r="M190" s="41" t="s">
        <v>536</v>
      </c>
      <c r="N190" s="41"/>
      <c r="O190" s="41" t="s">
        <v>530</v>
      </c>
      <c r="P190" s="41" t="s">
        <v>535</v>
      </c>
    </row>
    <row r="191" spans="1:16" s="30" customFormat="1" ht="51" customHeight="1">
      <c r="A191" s="35">
        <v>188</v>
      </c>
      <c r="B191" s="97" t="s">
        <v>464</v>
      </c>
      <c r="C191" s="74" t="s">
        <v>556</v>
      </c>
      <c r="D191" s="80"/>
      <c r="E191" s="40" t="s">
        <v>494</v>
      </c>
      <c r="F191" s="45" t="s">
        <v>513</v>
      </c>
      <c r="G191" s="45" t="s">
        <v>515</v>
      </c>
      <c r="H191" s="41">
        <v>91</v>
      </c>
      <c r="I191" s="41">
        <v>65</v>
      </c>
      <c r="J191" s="41">
        <v>91</v>
      </c>
      <c r="K191" s="42">
        <f t="shared" si="0"/>
        <v>325</v>
      </c>
      <c r="L191" s="42">
        <v>345</v>
      </c>
      <c r="M191" s="41" t="s">
        <v>531</v>
      </c>
      <c r="N191" s="41"/>
      <c r="O191" s="41" t="s">
        <v>530</v>
      </c>
      <c r="P191" s="41" t="s">
        <v>532</v>
      </c>
    </row>
    <row r="192" spans="1:16" s="30" customFormat="1" ht="51" customHeight="1">
      <c r="A192" s="35">
        <v>189</v>
      </c>
      <c r="B192" s="97" t="s">
        <v>464</v>
      </c>
      <c r="C192" s="74" t="s">
        <v>556</v>
      </c>
      <c r="D192" s="80"/>
      <c r="E192" s="40" t="s">
        <v>495</v>
      </c>
      <c r="F192" s="45" t="s">
        <v>514</v>
      </c>
      <c r="G192" s="45" t="s">
        <v>515</v>
      </c>
      <c r="H192" s="41">
        <v>106</v>
      </c>
      <c r="I192" s="41">
        <v>67</v>
      </c>
      <c r="J192" s="41">
        <v>106</v>
      </c>
      <c r="K192" s="42">
        <f t="shared" si="0"/>
        <v>600</v>
      </c>
      <c r="L192" s="42">
        <v>620</v>
      </c>
      <c r="M192" s="41" t="s">
        <v>531</v>
      </c>
      <c r="N192" s="41"/>
      <c r="O192" s="41" t="s">
        <v>530</v>
      </c>
      <c r="P192" s="41" t="s">
        <v>532</v>
      </c>
    </row>
    <row r="193" spans="1:16" s="30" customFormat="1" ht="51" customHeight="1">
      <c r="A193" s="35">
        <v>190</v>
      </c>
      <c r="B193" s="97" t="s">
        <v>537</v>
      </c>
      <c r="C193" s="74" t="s">
        <v>556</v>
      </c>
      <c r="D193" s="80"/>
      <c r="E193" s="40" t="s">
        <v>539</v>
      </c>
      <c r="F193" s="45" t="s">
        <v>541</v>
      </c>
      <c r="G193" s="45" t="s">
        <v>9</v>
      </c>
      <c r="H193" s="41">
        <v>122</v>
      </c>
      <c r="I193" s="41">
        <v>122</v>
      </c>
      <c r="J193" s="41">
        <v>141</v>
      </c>
      <c r="K193" s="42">
        <v>380</v>
      </c>
      <c r="L193" s="41">
        <v>500</v>
      </c>
      <c r="M193" s="41" t="s">
        <v>531</v>
      </c>
      <c r="N193" s="41"/>
      <c r="O193" s="41" t="s">
        <v>530</v>
      </c>
      <c r="P193" s="41" t="s">
        <v>532</v>
      </c>
    </row>
    <row r="194" spans="1:16" s="30" customFormat="1" ht="51" customHeight="1">
      <c r="A194" s="35">
        <v>191</v>
      </c>
      <c r="B194" s="97" t="s">
        <v>538</v>
      </c>
      <c r="C194" s="74" t="s">
        <v>556</v>
      </c>
      <c r="D194" s="82"/>
      <c r="E194" s="40" t="s">
        <v>540</v>
      </c>
      <c r="F194" s="45" t="s">
        <v>541</v>
      </c>
      <c r="G194" s="45" t="s">
        <v>9</v>
      </c>
      <c r="H194" s="41">
        <v>103</v>
      </c>
      <c r="I194" s="41">
        <v>103</v>
      </c>
      <c r="J194" s="41">
        <v>76</v>
      </c>
      <c r="K194" s="42">
        <v>140</v>
      </c>
      <c r="L194" s="41">
        <v>200</v>
      </c>
      <c r="M194" s="41" t="s">
        <v>531</v>
      </c>
      <c r="N194" s="41"/>
      <c r="O194" s="41" t="s">
        <v>530</v>
      </c>
      <c r="P194" s="41" t="s">
        <v>532</v>
      </c>
    </row>
    <row r="195" spans="1:16" s="30" customFormat="1" ht="51" customHeight="1">
      <c r="A195" s="35">
        <v>192</v>
      </c>
      <c r="B195" s="40" t="s">
        <v>573</v>
      </c>
      <c r="C195" s="98"/>
      <c r="D195" s="99"/>
      <c r="E195" s="40" t="s">
        <v>576</v>
      </c>
      <c r="F195" s="41">
        <v>7</v>
      </c>
      <c r="G195" s="41" t="s">
        <v>9</v>
      </c>
      <c r="H195" s="41">
        <v>123</v>
      </c>
      <c r="I195" s="41">
        <v>107</v>
      </c>
      <c r="J195" s="41">
        <v>103</v>
      </c>
      <c r="K195" s="42">
        <v>110</v>
      </c>
      <c r="L195" s="41">
        <v>185</v>
      </c>
      <c r="M195" s="41" t="s">
        <v>560</v>
      </c>
      <c r="N195" s="89">
        <v>280985</v>
      </c>
      <c r="O195" s="57">
        <v>45382</v>
      </c>
      <c r="P195" s="41" t="s">
        <v>561</v>
      </c>
    </row>
    <row r="196" spans="1:16" s="30" customFormat="1" ht="51" customHeight="1">
      <c r="A196" s="35">
        <v>193</v>
      </c>
      <c r="B196" s="40" t="s">
        <v>574</v>
      </c>
      <c r="C196" s="98"/>
      <c r="D196" s="99"/>
      <c r="E196" s="40" t="s">
        <v>577</v>
      </c>
      <c r="F196" s="41">
        <v>6</v>
      </c>
      <c r="G196" s="41" t="s">
        <v>9</v>
      </c>
      <c r="H196" s="41">
        <v>150</v>
      </c>
      <c r="I196" s="41">
        <v>150</v>
      </c>
      <c r="J196" s="41">
        <v>140</v>
      </c>
      <c r="K196" s="42">
        <v>95</v>
      </c>
      <c r="L196" s="41">
        <v>150</v>
      </c>
      <c r="M196" s="41" t="s">
        <v>560</v>
      </c>
      <c r="N196" s="89">
        <v>280985</v>
      </c>
      <c r="O196" s="57">
        <v>45382</v>
      </c>
      <c r="P196" s="41" t="s">
        <v>561</v>
      </c>
    </row>
    <row r="197" spans="1:16" s="33" customFormat="1" ht="51" customHeight="1">
      <c r="A197" s="36">
        <v>194</v>
      </c>
      <c r="B197" s="87" t="s">
        <v>575</v>
      </c>
      <c r="C197" s="100"/>
      <c r="D197" s="101"/>
      <c r="E197" s="87" t="s">
        <v>578</v>
      </c>
      <c r="F197" s="89" t="s">
        <v>541</v>
      </c>
      <c r="G197" s="89" t="s">
        <v>9</v>
      </c>
      <c r="H197" s="89">
        <v>150</v>
      </c>
      <c r="I197" s="89">
        <v>150</v>
      </c>
      <c r="J197" s="89">
        <v>137</v>
      </c>
      <c r="K197" s="90">
        <v>810</v>
      </c>
      <c r="L197" s="90">
        <v>1200</v>
      </c>
      <c r="M197" s="89"/>
      <c r="N197" s="89"/>
      <c r="O197" s="89"/>
      <c r="P197" s="89"/>
    </row>
    <row r="198" spans="1:16">
      <c r="L198" s="1"/>
      <c r="P198" s="4"/>
    </row>
    <row r="199" spans="1:16">
      <c r="L199" s="1"/>
      <c r="P199" s="4"/>
    </row>
    <row r="200" spans="1:16">
      <c r="L200" s="1"/>
      <c r="P200" s="4"/>
    </row>
    <row r="201" spans="1:16" hidden="1">
      <c r="B201" s="8" t="s">
        <v>337</v>
      </c>
      <c r="L201" s="1"/>
      <c r="P201" s="4"/>
    </row>
    <row r="202" spans="1:16" hidden="1">
      <c r="B202" s="8" t="s">
        <v>338</v>
      </c>
      <c r="L202" s="1"/>
      <c r="P202" s="4"/>
    </row>
    <row r="203" spans="1:16" hidden="1">
      <c r="B203" s="8" t="s">
        <v>362</v>
      </c>
      <c r="L203" s="1"/>
      <c r="P203" s="4"/>
    </row>
    <row r="204" spans="1:16" hidden="1">
      <c r="B204" s="8" t="s">
        <v>339</v>
      </c>
      <c r="L204" s="1"/>
      <c r="P204" s="4"/>
    </row>
    <row r="205" spans="1:16" hidden="1">
      <c r="B205" s="8" t="s">
        <v>340</v>
      </c>
      <c r="L205" s="1"/>
      <c r="P205" s="4"/>
    </row>
    <row r="206" spans="1:16" hidden="1">
      <c r="B206" s="8" t="s">
        <v>341</v>
      </c>
      <c r="L206" s="1"/>
      <c r="P206" s="4"/>
    </row>
    <row r="207" spans="1:16" hidden="1">
      <c r="B207" s="8" t="s">
        <v>342</v>
      </c>
      <c r="L207" s="1"/>
      <c r="P207" s="4"/>
    </row>
    <row r="208" spans="1:16" hidden="1">
      <c r="B208" s="8" t="s">
        <v>343</v>
      </c>
      <c r="L208" s="1"/>
      <c r="P208" s="4"/>
    </row>
    <row r="209" spans="2:16" hidden="1">
      <c r="B209" s="8" t="s">
        <v>344</v>
      </c>
      <c r="L209" s="1"/>
      <c r="P209" s="4"/>
    </row>
    <row r="210" spans="2:16" hidden="1">
      <c r="L210" s="1"/>
      <c r="P210" s="4"/>
    </row>
    <row r="211" spans="2:16" hidden="1">
      <c r="B211" s="4">
        <f>12+7+6+12+3+3</f>
        <v>43</v>
      </c>
      <c r="L211" s="1"/>
      <c r="P211" s="4"/>
    </row>
    <row r="212" spans="2:16" hidden="1">
      <c r="B212" s="4">
        <f>2+5+4</f>
        <v>11</v>
      </c>
      <c r="L212" s="1"/>
      <c r="P212" s="4"/>
    </row>
    <row r="213" spans="2:16" hidden="1">
      <c r="B213" s="4">
        <v>2</v>
      </c>
      <c r="L213" s="1"/>
      <c r="P213" s="4"/>
    </row>
    <row r="214" spans="2:16" hidden="1">
      <c r="B214" s="4">
        <v>2</v>
      </c>
      <c r="L214" s="1"/>
      <c r="P214" s="4"/>
    </row>
    <row r="215" spans="2:16" hidden="1"/>
  </sheetData>
  <mergeCells count="43">
    <mergeCell ref="Q2:Q3"/>
    <mergeCell ref="P2:P3"/>
    <mergeCell ref="O2:O3"/>
    <mergeCell ref="M2:M3"/>
    <mergeCell ref="K2:K3"/>
    <mergeCell ref="L2:L3"/>
    <mergeCell ref="N2:N3"/>
    <mergeCell ref="A2:A3"/>
    <mergeCell ref="B2:B3"/>
    <mergeCell ref="F2:F3"/>
    <mergeCell ref="G2:G3"/>
    <mergeCell ref="H2:J2"/>
    <mergeCell ref="E2:E3"/>
    <mergeCell ref="D4:D8"/>
    <mergeCell ref="D9:D13"/>
    <mergeCell ref="D14:D19"/>
    <mergeCell ref="D20:D21"/>
    <mergeCell ref="D22:D26"/>
    <mergeCell ref="D27:D31"/>
    <mergeCell ref="D32:D37"/>
    <mergeCell ref="D38:D39"/>
    <mergeCell ref="D40:D44"/>
    <mergeCell ref="D45:D49"/>
    <mergeCell ref="D50:D55"/>
    <mergeCell ref="D56:D58"/>
    <mergeCell ref="D59:D62"/>
    <mergeCell ref="D63:D64"/>
    <mergeCell ref="D65:D66"/>
    <mergeCell ref="D67:D68"/>
    <mergeCell ref="D69:D70"/>
    <mergeCell ref="D71:D72"/>
    <mergeCell ref="D73:D74"/>
    <mergeCell ref="D75:D76"/>
    <mergeCell ref="D160:D161"/>
    <mergeCell ref="D129:D159"/>
    <mergeCell ref="D162:D194"/>
    <mergeCell ref="D83:D98"/>
    <mergeCell ref="D77:D78"/>
    <mergeCell ref="D79:D80"/>
    <mergeCell ref="D127:D128"/>
    <mergeCell ref="D81:D82"/>
    <mergeCell ref="D99:D112"/>
    <mergeCell ref="D114:D126"/>
  </mergeCells>
  <pageMargins left="0.31496062992125984" right="0.31496062992125984" top="0.74803149606299213" bottom="0.74803149606299213" header="0.31496062992125984" footer="0.31496062992125984"/>
  <pageSetup paperSize="8" scale="65" orientation="landscape" r:id="rId1"/>
  <rowBreaks count="13" manualBreakCount="13">
    <brk id="15" max="15" man="1"/>
    <brk id="29" max="15" man="1"/>
    <brk id="43" max="15" man="1"/>
    <brk id="57" max="15" man="1"/>
    <brk id="72" max="15" man="1"/>
    <brk id="86" max="15" man="1"/>
    <brk id="100" max="15" man="1"/>
    <brk id="113" max="15" man="1"/>
    <brk id="128" max="15" man="1"/>
    <brk id="143" max="15" man="1"/>
    <brk id="158" max="15" man="1"/>
    <brk id="173" max="15" man="1"/>
    <brk id="18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LOT-2 PPL</vt:lpstr>
      <vt:lpstr>'LOT-2 PPL'!Print_Area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2025-01-07T09:20:17Z</dcterms:modified>
</cp:coreProperties>
</file>